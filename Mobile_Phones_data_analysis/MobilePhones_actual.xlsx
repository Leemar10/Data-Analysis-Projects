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imelines/timeline1.xml" ContentType="application/vnd.ms-excel.timelin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Documents\"/>
    </mc:Choice>
  </mc:AlternateContent>
  <xr:revisionPtr revIDLastSave="0" documentId="8_{81AA0C0E-CE48-4D25-81A7-42EFB273846F}" xr6:coauthVersionLast="47" xr6:coauthVersionMax="47" xr10:uidLastSave="{00000000-0000-0000-0000-000000000000}"/>
  <bookViews>
    <workbookView xWindow="-120" yWindow="-120" windowWidth="29040" windowHeight="15840" activeTab="3" xr2:uid="{FF6A8643-8B05-4FD4-A6D2-9C415DA5005F}"/>
  </bookViews>
  <sheets>
    <sheet name="MobilePhones" sheetId="1" r:id="rId1"/>
    <sheet name="MobilePhones2" sheetId="2" r:id="rId2"/>
    <sheet name="Pivot Tables" sheetId="3" r:id="rId3"/>
    <sheet name="DashBoard" sheetId="6" r:id="rId4"/>
  </sheets>
  <definedNames>
    <definedName name="_xlnm._FilterDatabase" localSheetId="0" hidden="1">MobilePhones!$A$1:$H$124</definedName>
    <definedName name="NativeTimeline_date">#N/A</definedName>
  </definedNames>
  <calcPr calcId="191029"/>
  <pivotCaches>
    <pivotCache cacheId="0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2" i="1"/>
</calcChain>
</file>

<file path=xl/sharedStrings.xml><?xml version="1.0" encoding="utf-8"?>
<sst xmlns="http://schemas.openxmlformats.org/spreadsheetml/2006/main" count="701" uniqueCount="280">
  <si>
    <t>Manufacturer</t>
  </si>
  <si>
    <t>Model</t>
  </si>
  <si>
    <t>Form factor</t>
  </si>
  <si>
    <t>Smartphone?</t>
  </si>
  <si>
    <t>Graph (million units)</t>
  </si>
  <si>
    <t>Nokia</t>
  </si>
  <si>
    <t>Bar</t>
  </si>
  <si>
    <t>No</t>
  </si>
  <si>
    <t>250[4][1][5]</t>
  </si>
  <si>
    <t>247.5[4][1][6]</t>
  </si>
  <si>
    <t>Apple</t>
  </si>
  <si>
    <t>iPhone 6 and iPhone 6 Plus</t>
  </si>
  <si>
    <t>Touchscreen</t>
  </si>
  <si>
    <t>Yes</t>
  </si>
  <si>
    <t>222.4[7]</t>
  </si>
  <si>
    <t>105 series</t>
  </si>
  <si>
    <t>200[8]</t>
  </si>
  <si>
    <t>iPhone 6S and iPhone 6S Plus</t>
  </si>
  <si>
    <t>174.1[9][10][11][12]</t>
  </si>
  <si>
    <t>iPhone 5S</t>
  </si>
  <si>
    <t>164.5[7]</t>
  </si>
  <si>
    <t>161[1][6][13]</t>
  </si>
  <si>
    <t>iPhone 7 and iPhone 7 Plus</t>
  </si>
  <si>
    <t>159.9[11][14][15][16][17]</t>
  </si>
  <si>
    <t>iPhone 11, iPhone 11 Pro and iPhone 11 Pro Max</t>
  </si>
  <si>
    <t>159.2[18][19][20]</t>
  </si>
  <si>
    <t>iPhone XR, iPhone XS and iPhone XS Max</t>
  </si>
  <si>
    <t>151.1[21][19]</t>
  </si>
  <si>
    <t>150[4][1]</t>
  </si>
  <si>
    <t>150[4][1][6]</t>
  </si>
  <si>
    <t>Samsung</t>
  </si>
  <si>
    <t>E1100</t>
  </si>
  <si>
    <t>150[4]</t>
  </si>
  <si>
    <t>iPhone 5</t>
  </si>
  <si>
    <t>146.2[7]</t>
  </si>
  <si>
    <t>2600 (2610/2626/2630)</t>
  </si>
  <si>
    <t>135[4][1][6][5]</t>
  </si>
  <si>
    <t>Motorola</t>
  </si>
  <si>
    <t>RAZR V3</t>
  </si>
  <si>
    <t>Flip phone</t>
  </si>
  <si>
    <t>130[4][6]</t>
  </si>
  <si>
    <t>1600 (1650/1661)</t>
  </si>
  <si>
    <t>130[4][1][6][5]</t>
  </si>
  <si>
    <t>3310 (3330)</t>
  </si>
  <si>
    <t>126[4][1][6][22]</t>
  </si>
  <si>
    <t>iPhone 8 and iPhone 8 Plus</t>
  </si>
  <si>
    <t>124.7[23][19][16][24][25]</t>
  </si>
  <si>
    <t>Apple iPhone 12, iPhone 12 mini, iPhone 12 Pro and iPhone 12 Pro Max</t>
  </si>
  <si>
    <t>100[18]</t>
  </si>
  <si>
    <t>1208 (1209)</t>
  </si>
  <si>
    <t>100[4][1][6]</t>
  </si>
  <si>
    <t>100[26]</t>
  </si>
  <si>
    <t>6010 (6020/6030)</t>
  </si>
  <si>
    <t>75[4][6][5]</t>
  </si>
  <si>
    <t>Galaxy S III and Galaxy S III Mini</t>
  </si>
  <si>
    <t>70[27]</t>
  </si>
  <si>
    <t>Galaxy S4</t>
  </si>
  <si>
    <t>70[28]</t>
  </si>
  <si>
    <t>5130 (5220/5310)</t>
  </si>
  <si>
    <t>65[4][6]</t>
  </si>
  <si>
    <t>iPhone X</t>
  </si>
  <si>
    <t>63[29]</t>
  </si>
  <si>
    <t>iPhone 4S</t>
  </si>
  <si>
    <t>60[4][6][30]</t>
  </si>
  <si>
    <t>StarTAC</t>
  </si>
  <si>
    <t>60[4][6]</t>
  </si>
  <si>
    <t>C200</t>
  </si>
  <si>
    <t>60[6]</t>
  </si>
  <si>
    <t>C139</t>
  </si>
  <si>
    <t>60[30]</t>
  </si>
  <si>
    <t>Galaxy S7 and Galaxy S7 edge</t>
  </si>
  <si>
    <t>55[31]</t>
  </si>
  <si>
    <t>3100 (3120)</t>
  </si>
  <si>
    <t>50[6]</t>
  </si>
  <si>
    <t>6230 (6233/6234)</t>
  </si>
  <si>
    <t>iPhone 4</t>
  </si>
  <si>
    <t>50[30]</t>
  </si>
  <si>
    <t>47[32]</t>
  </si>
  <si>
    <t>Galaxy S6 and Galaxy S6 edge</t>
  </si>
  <si>
    <t>45[33]</t>
  </si>
  <si>
    <t>N70 (N72/N73)</t>
  </si>
  <si>
    <t>45[30][5]</t>
  </si>
  <si>
    <t>Galaxy S8 and Galaxy S8+</t>
  </si>
  <si>
    <t>41[34]</t>
  </si>
  <si>
    <t>Galaxy S II</t>
  </si>
  <si>
    <t>40[6]</t>
  </si>
  <si>
    <t>Galaxy S10, Galaxy S10+ and Galaxy S10e</t>
  </si>
  <si>
    <t>37[35]</t>
  </si>
  <si>
    <t>Galaxy S9 and Galaxy S9+</t>
  </si>
  <si>
    <t>35.4[19]</t>
  </si>
  <si>
    <t>35[6]</t>
  </si>
  <si>
    <t>iPhone 3GS</t>
  </si>
  <si>
    <t>Huawei</t>
  </si>
  <si>
    <t>P20, P20 Pro and P20 Lite</t>
  </si>
  <si>
    <t>32[36][19]</t>
  </si>
  <si>
    <t>Galaxy A10</t>
  </si>
  <si>
    <t>30.3[19]</t>
  </si>
  <si>
    <t>E250</t>
  </si>
  <si>
    <t>Slider</t>
  </si>
  <si>
    <t>30[30]</t>
  </si>
  <si>
    <t>LG</t>
  </si>
  <si>
    <t>KP100</t>
  </si>
  <si>
    <t>30[37]</t>
  </si>
  <si>
    <t>Galaxy Note II</t>
  </si>
  <si>
    <t>30[38]</t>
  </si>
  <si>
    <t>5200 (5300)</t>
  </si>
  <si>
    <t>30[5]</t>
  </si>
  <si>
    <t>Xiaomi</t>
  </si>
  <si>
    <t>Redmi Note 8 and Redmi Note 8 Pro</t>
  </si>
  <si>
    <t>30[39]</t>
  </si>
  <si>
    <t>iPhone 12 Pro Max</t>
  </si>
  <si>
    <t>29[18]</t>
  </si>
  <si>
    <t>Galaxy S20, Galaxy S20+ and Galaxy S20 Ultra</t>
  </si>
  <si>
    <t>28[40]</t>
  </si>
  <si>
    <t>Galaxy S</t>
  </si>
  <si>
    <t>25[41]</t>
  </si>
  <si>
    <t>Galaxy Grand Prime Plus</t>
  </si>
  <si>
    <t>24.2[19]</t>
  </si>
  <si>
    <t>Galaxy A50</t>
  </si>
  <si>
    <t>iPhone SE (2nd generation)</t>
  </si>
  <si>
    <t>24.2[42]</t>
  </si>
  <si>
    <t>Galaxy A51</t>
  </si>
  <si>
    <t>23.2[42]</t>
  </si>
  <si>
    <t>Galaxy A20</t>
  </si>
  <si>
    <t>23.1[19]</t>
  </si>
  <si>
    <t>Chocolate VX8500</t>
  </si>
  <si>
    <t>21[43][44][45][46]</t>
  </si>
  <si>
    <t>20[47][13]</t>
  </si>
  <si>
    <t>Redmi Note 7 and Redmi Note 7 Pro</t>
  </si>
  <si>
    <t>20[48]</t>
  </si>
  <si>
    <t>P30 and P30 Pro</t>
  </si>
  <si>
    <t>20[49]</t>
  </si>
  <si>
    <t>Galaxy A21s</t>
  </si>
  <si>
    <t>19.4[42]</t>
  </si>
  <si>
    <t>Galaxy A02</t>
  </si>
  <si>
    <t>Mate 10 and Mate 10 Pro</t>
  </si>
  <si>
    <t>17[50]</t>
  </si>
  <si>
    <t>Mate 20 and Mate 20 Pro</t>
  </si>
  <si>
    <t>17[49]</t>
  </si>
  <si>
    <t>Galaxy A01</t>
  </si>
  <si>
    <t>16.9[42]</t>
  </si>
  <si>
    <t>HTC</t>
  </si>
  <si>
    <t>ThunderBolt</t>
  </si>
  <si>
    <t>16[30]</t>
  </si>
  <si>
    <t>Mate 9</t>
  </si>
  <si>
    <t>15.8[50]</t>
  </si>
  <si>
    <t>Galaxy A11</t>
  </si>
  <si>
    <t>15.3[42]</t>
  </si>
  <si>
    <t>Galaxy J2 Core</t>
  </si>
  <si>
    <t>15.2[19]</t>
  </si>
  <si>
    <t>5610 XpressMusic</t>
  </si>
  <si>
    <t>15[5]</t>
  </si>
  <si>
    <t>5800 XpressMusic</t>
  </si>
  <si>
    <t>E71 (E72)</t>
  </si>
  <si>
    <t>Keyboard bar</t>
  </si>
  <si>
    <t>Sony Ericsson</t>
  </si>
  <si>
    <t>K300 (K310)</t>
  </si>
  <si>
    <t>15[30][51]</t>
  </si>
  <si>
    <t>K750</t>
  </si>
  <si>
    <t>15[30]</t>
  </si>
  <si>
    <t>W800 (W810)</t>
  </si>
  <si>
    <t>Research in Motion (RIM)</t>
  </si>
  <si>
    <t>BlackBerry Pearl</t>
  </si>
  <si>
    <t>Redmi Note 9 Pro</t>
  </si>
  <si>
    <t>15[42]</t>
  </si>
  <si>
    <t>Galaxy S21, Galaxy S21+ and Galaxy S21 Ultra</t>
  </si>
  <si>
    <t>13.5[40]</t>
  </si>
  <si>
    <t>Droid Bionic</t>
  </si>
  <si>
    <t>13[30]</t>
  </si>
  <si>
    <t>Cookie (KP500)</t>
  </si>
  <si>
    <t>13[52][53]</t>
  </si>
  <si>
    <t>Mate 30 and Mate 30 Pro</t>
  </si>
  <si>
    <t>12[54]</t>
  </si>
  <si>
    <t>Galaxy S22 Ultra</t>
  </si>
  <si>
    <t>10.9[55][56]</t>
  </si>
  <si>
    <t>SGH-E700</t>
  </si>
  <si>
    <t>10[57]</t>
  </si>
  <si>
    <t>N95</t>
  </si>
  <si>
    <t>10[58]</t>
  </si>
  <si>
    <t>Shine</t>
  </si>
  <si>
    <t>10[59]</t>
  </si>
  <si>
    <t>Star/Tocco Lite (S5230)</t>
  </si>
  <si>
    <t>10[60]</t>
  </si>
  <si>
    <t>Galaxy Note</t>
  </si>
  <si>
    <t>10[61][62]</t>
  </si>
  <si>
    <t>Mi 2</t>
  </si>
  <si>
    <t>10[63]</t>
  </si>
  <si>
    <t>Galaxy Note 3</t>
  </si>
  <si>
    <t>10[64]</t>
  </si>
  <si>
    <t>G3</t>
  </si>
  <si>
    <t>10[65][66][67]</t>
  </si>
  <si>
    <t>Galaxy Note 8</t>
  </si>
  <si>
    <t>10[68]</t>
  </si>
  <si>
    <t>Redmi 6A</t>
  </si>
  <si>
    <t>10[69]</t>
  </si>
  <si>
    <t>Galaxy S20 FE</t>
  </si>
  <si>
    <t>10[70][71]</t>
  </si>
  <si>
    <t>Oppo</t>
  </si>
  <si>
    <t>A5 (AX5)</t>
  </si>
  <si>
    <t>9.7[69]</t>
  </si>
  <si>
    <t>Galaxy Note 9</t>
  </si>
  <si>
    <t>9.6[68]</t>
  </si>
  <si>
    <t>Galaxy A30</t>
  </si>
  <si>
    <t>9.2[69]</t>
  </si>
  <si>
    <t>Redmi 8A</t>
  </si>
  <si>
    <t>7.3[20]</t>
  </si>
  <si>
    <t>F1 Plus</t>
  </si>
  <si>
    <t>7[72]</t>
  </si>
  <si>
    <t>Redmi 8</t>
  </si>
  <si>
    <t>6.8[20]</t>
  </si>
  <si>
    <t>Galaxy J4+</t>
  </si>
  <si>
    <t>6.4[73]</t>
  </si>
  <si>
    <t>iPhone</t>
  </si>
  <si>
    <t>6[74]</t>
  </si>
  <si>
    <t>Viewty (KU990)</t>
  </si>
  <si>
    <t>5[75]</t>
  </si>
  <si>
    <t>Galaxy J6+</t>
  </si>
  <si>
    <t>4.9[73]</t>
  </si>
  <si>
    <t>Samsung Galaxy S24 Ultra</t>
  </si>
  <si>
    <t>Samsung Galaxy Note 4</t>
  </si>
  <si>
    <t>4.5[76]</t>
  </si>
  <si>
    <t>Samsung Galaxy A14 4G</t>
  </si>
  <si>
    <t>Galaxy A10s</t>
  </si>
  <si>
    <t>3.9[73]</t>
  </si>
  <si>
    <t>Samsung Galaxy S23 FE</t>
  </si>
  <si>
    <t>Galaxy A30s</t>
  </si>
  <si>
    <t>3.4[73]</t>
  </si>
  <si>
    <t>N-Gage</t>
  </si>
  <si>
    <t>Taco</t>
  </si>
  <si>
    <t>3[5]</t>
  </si>
  <si>
    <t>G2</t>
  </si>
  <si>
    <t>3[77][78]</t>
  </si>
  <si>
    <t>LeTV</t>
  </si>
  <si>
    <t>LeEco Le 1s</t>
  </si>
  <si>
    <t>3[79][80]</t>
  </si>
  <si>
    <t>Samsung Galaxy A55</t>
  </si>
  <si>
    <t>Samsung Galaxy S24</t>
  </si>
  <si>
    <t>Samsung Galaxy A15 4G</t>
  </si>
  <si>
    <t>Google</t>
  </si>
  <si>
    <t>Pixel and Pixel XL</t>
  </si>
  <si>
    <t>2.1[81]</t>
  </si>
  <si>
    <t>Palm</t>
  </si>
  <si>
    <t>Centro</t>
  </si>
  <si>
    <t>2[82]</t>
  </si>
  <si>
    <t>N97</t>
  </si>
  <si>
    <t>Tilt slider</t>
  </si>
  <si>
    <t>2[5]</t>
  </si>
  <si>
    <t>Samsung Galaxy A05s</t>
  </si>
  <si>
    <t>2015*</t>
  </si>
  <si>
    <t>2016*</t>
  </si>
  <si>
    <t>2017*</t>
  </si>
  <si>
    <t>2018*</t>
  </si>
  <si>
    <t>2019*</t>
  </si>
  <si>
    <t>2020*</t>
  </si>
  <si>
    <t>Alcatel</t>
  </si>
  <si>
    <t>BBK</t>
  </si>
  <si>
    <t>Ericsson</t>
  </si>
  <si>
    <t>Lenovo</t>
  </si>
  <si>
    <t>Lenovo/Motorola</t>
  </si>
  <si>
    <t>Micromax</t>
  </si>
  <si>
    <t>Microsoft</t>
  </si>
  <si>
    <t>NEC</t>
  </si>
  <si>
    <t>Others</t>
  </si>
  <si>
    <t>Panasonic</t>
  </si>
  <si>
    <t>RIM</t>
  </si>
  <si>
    <t>Siemens</t>
  </si>
  <si>
    <t>Sony</t>
  </si>
  <si>
    <t>TCL</t>
  </si>
  <si>
    <t>Vivo</t>
  </si>
  <si>
    <t>Yulong</t>
  </si>
  <si>
    <t>ZTE</t>
  </si>
  <si>
    <t>Total</t>
  </si>
  <si>
    <t>Units Sold</t>
  </si>
  <si>
    <t>Year Released</t>
  </si>
  <si>
    <t>Row Labels</t>
  </si>
  <si>
    <t>Grand Total</t>
  </si>
  <si>
    <t>(All)</t>
  </si>
  <si>
    <t>Sum of Units Sold</t>
  </si>
  <si>
    <t>Count of Model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</si>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</sst>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/>
        <i val="0"/>
        <sz val="11"/>
        <color theme="0" tint="-4.9989318521683403E-2"/>
        <name val="Aptos Narrow"/>
        <family val="2"/>
        <scheme val="minor"/>
      </font>
      <fill>
        <gradientFill degree="180">
          <stop position="0">
            <color rgb="FF7030A0"/>
          </stop>
          <stop position="1">
            <color rgb="FF0070C0"/>
          </stop>
        </gradientFill>
      </fill>
    </dxf>
    <dxf>
      <fill>
        <gradientFill degree="180">
          <stop position="0">
            <color rgb="FF7030A0"/>
          </stop>
          <stop position="1">
            <color rgb="FF0070C0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ont>
        <b/>
        <i val="0"/>
        <sz val="10"/>
        <name val="Aptos Narrow"/>
        <family val="2"/>
        <scheme val="minor"/>
      </font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2" defaultTableStyle="TableStyleMedium2" defaultPivotStyle="PivotStyleLight16">
    <tableStyle name="Timeline" pivot="0" table="0" count="8" xr9:uid="{C40D19D9-4081-47CB-A617-7ADFE607D5A5}">
      <tableStyleElement type="wholeTable" dxfId="3"/>
      <tableStyleElement type="headerRow" dxfId="2"/>
    </tableStyle>
    <tableStyle name="Timeline Style 1" pivot="0" table="0" count="8" xr9:uid="{C0F56F48-5A82-4AFE-ADB7-BEE58FD20CBA}">
      <tableStyleElement type="wholeTable" dxfId="1"/>
      <tableStyleElement type="headerRow" dxfId="0"/>
    </tableStyle>
  </tableStyles>
  <colors>
    <mruColors>
      <color rgb="FF619B84"/>
      <color rgb="FFA1C181"/>
      <color rgb="FFFCCA46"/>
      <color rgb="FFFE7F2D"/>
      <color rgb="FF233D4D"/>
      <color rgb="FFA8E6CF"/>
      <color rgb="FFFFFFFF"/>
      <color rgb="FF0C343D"/>
      <color rgb="FFF0F0F0"/>
      <color rgb="FF1048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5" tint="-0.24994659260841701"/>
            </patternFill>
          </fill>
        </dxf>
        <dxf>
          <font>
            <b/>
            <i val="0"/>
            <sz val="9"/>
            <color theme="0" tint="-4.9989318521683403E-2"/>
            <name val="Aptos Narrow"/>
            <family val="2"/>
            <scheme val="minor"/>
          </font>
        </dxf>
        <dxf>
          <font>
            <b/>
            <i val="0"/>
            <sz val="9"/>
            <color theme="0" tint="-4.9989318521683403E-2"/>
            <name val="Aptos Narrow"/>
            <family val="2"/>
            <scheme val="minor"/>
          </font>
        </dxf>
        <dxf>
          <font>
            <b/>
            <i val="0"/>
            <sz val="9"/>
            <color theme="0" tint="-4.9989318521683403E-2"/>
            <name val="Aptos Narrow"/>
            <family val="2"/>
            <scheme val="minor"/>
          </font>
        </dxf>
        <dxf>
          <font>
            <b/>
            <i val="0"/>
            <sz val="10"/>
            <color theme="0" tint="-4.9989318521683403E-2"/>
            <name val="Aptos Narrow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1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[MobilePhones_actual.xlsx]Pivot Tables!Units Sold by Company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Tables'!$A$8:$A$22</c:f>
              <c:strCache>
                <c:ptCount val="14"/>
                <c:pt idx="0">
                  <c:v>Apple</c:v>
                </c:pt>
                <c:pt idx="1">
                  <c:v>Google</c:v>
                </c:pt>
                <c:pt idx="2">
                  <c:v>HTC</c:v>
                </c:pt>
                <c:pt idx="3">
                  <c:v>Huawei</c:v>
                </c:pt>
                <c:pt idx="4">
                  <c:v>LeTV</c:v>
                </c:pt>
                <c:pt idx="5">
                  <c:v>LG</c:v>
                </c:pt>
                <c:pt idx="6">
                  <c:v>Motorola</c:v>
                </c:pt>
                <c:pt idx="7">
                  <c:v>Nokia</c:v>
                </c:pt>
                <c:pt idx="8">
                  <c:v>Oppo</c:v>
                </c:pt>
                <c:pt idx="9">
                  <c:v>Palm</c:v>
                </c:pt>
                <c:pt idx="10">
                  <c:v>Research in Motion (RIM)</c:v>
                </c:pt>
                <c:pt idx="11">
                  <c:v>Samsung</c:v>
                </c:pt>
                <c:pt idx="12">
                  <c:v>Sony Ericsson</c:v>
                </c:pt>
                <c:pt idx="13">
                  <c:v>Xiaomi</c:v>
                </c:pt>
              </c:strCache>
            </c:strRef>
          </c:cat>
          <c:val>
            <c:numRef>
              <c:f>'Pivot Tables'!$B$8:$B$22</c:f>
              <c:numCache>
                <c:formatCode>General</c:formatCode>
                <c:ptCount val="14"/>
                <c:pt idx="0">
                  <c:v>1669.3</c:v>
                </c:pt>
                <c:pt idx="1">
                  <c:v>2.1</c:v>
                </c:pt>
                <c:pt idx="2">
                  <c:v>16</c:v>
                </c:pt>
                <c:pt idx="3">
                  <c:v>113.8</c:v>
                </c:pt>
                <c:pt idx="4">
                  <c:v>3</c:v>
                </c:pt>
                <c:pt idx="5">
                  <c:v>92</c:v>
                </c:pt>
                <c:pt idx="6">
                  <c:v>323</c:v>
                </c:pt>
                <c:pt idx="7">
                  <c:v>2376.5</c:v>
                </c:pt>
                <c:pt idx="8">
                  <c:v>16.7</c:v>
                </c:pt>
                <c:pt idx="9">
                  <c:v>2</c:v>
                </c:pt>
                <c:pt idx="10">
                  <c:v>15</c:v>
                </c:pt>
                <c:pt idx="11">
                  <c:v>1014.8</c:v>
                </c:pt>
                <c:pt idx="12">
                  <c:v>45</c:v>
                </c:pt>
                <c:pt idx="13">
                  <c:v>99.1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8-43E7-8737-DFD3C00045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1920120"/>
        <c:axId val="1171920480"/>
      </c:barChart>
      <c:catAx>
        <c:axId val="117192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920480"/>
        <c:crosses val="autoZero"/>
        <c:auto val="1"/>
        <c:lblAlgn val="ctr"/>
        <c:lblOffset val="100"/>
        <c:noMultiLvlLbl val="0"/>
      </c:catAx>
      <c:valAx>
        <c:axId val="11719204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71920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[MobilePhones_actual.xlsx]Pivot Tables!Units Sold by Year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Tables'!$A$32:$A$57</c:f>
              <c:strCache>
                <c:ptCount val="25"/>
                <c:pt idx="0">
                  <c:v>1996</c:v>
                </c:pt>
                <c:pt idx="1">
                  <c:v>1999</c:v>
                </c:pt>
                <c:pt idx="2">
                  <c:v>2000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'Pivot Tables'!$B$32:$B$57</c:f>
              <c:numCache>
                <c:formatCode>General</c:formatCode>
                <c:ptCount val="25"/>
                <c:pt idx="0">
                  <c:v>60</c:v>
                </c:pt>
                <c:pt idx="1">
                  <c:v>161</c:v>
                </c:pt>
                <c:pt idx="2">
                  <c:v>126</c:v>
                </c:pt>
                <c:pt idx="3">
                  <c:v>543</c:v>
                </c:pt>
                <c:pt idx="4">
                  <c:v>440</c:v>
                </c:pt>
                <c:pt idx="5">
                  <c:v>497.5</c:v>
                </c:pt>
                <c:pt idx="6">
                  <c:v>158</c:v>
                </c:pt>
                <c:pt idx="7">
                  <c:v>353</c:v>
                </c:pt>
                <c:pt idx="8">
                  <c:v>70</c:v>
                </c:pt>
                <c:pt idx="9">
                  <c:v>360</c:v>
                </c:pt>
                <c:pt idx="10">
                  <c:v>175</c:v>
                </c:pt>
                <c:pt idx="11">
                  <c:v>139</c:v>
                </c:pt>
                <c:pt idx="12">
                  <c:v>256.2</c:v>
                </c:pt>
                <c:pt idx="13">
                  <c:v>447.5</c:v>
                </c:pt>
                <c:pt idx="14">
                  <c:v>236.9</c:v>
                </c:pt>
                <c:pt idx="15">
                  <c:v>219.1</c:v>
                </c:pt>
                <c:pt idx="16">
                  <c:v>267</c:v>
                </c:pt>
                <c:pt idx="17">
                  <c:v>255.7</c:v>
                </c:pt>
                <c:pt idx="18">
                  <c:v>281.29999999999995</c:v>
                </c:pt>
                <c:pt idx="19">
                  <c:v>436.49999999999994</c:v>
                </c:pt>
                <c:pt idx="20">
                  <c:v>240.9</c:v>
                </c:pt>
                <c:pt idx="21">
                  <c:v>31.8</c:v>
                </c:pt>
                <c:pt idx="22">
                  <c:v>10.9</c:v>
                </c:pt>
                <c:pt idx="23">
                  <c:v>12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48-4A51-9E4D-E5065E757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1916880"/>
        <c:axId val="1171919040"/>
      </c:lineChart>
      <c:catAx>
        <c:axId val="117191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919040"/>
        <c:crosses val="autoZero"/>
        <c:auto val="1"/>
        <c:lblAlgn val="ctr"/>
        <c:lblOffset val="100"/>
        <c:noMultiLvlLbl val="0"/>
      </c:catAx>
      <c:valAx>
        <c:axId val="11719190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7191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[MobilePhones_actual.xlsx]Pivot Tables!Units Sold by Form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833333333333334"/>
              <c:y val="-6.9444444444444489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055555555555555"/>
              <c:y val="6.481481481481481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57"/>
              <c:y val="0.125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2222222222222"/>
              <c:y val="0.1203703703703703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444444444444495E-2"/>
              <c:y val="0.14814814814814814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0.152777777777777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77777777777777"/>
              <c:y val="1.8518518518518517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43D-45D7-AC80-EEFA77DCD6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3D-45D7-AC80-EEFA77DCD6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43D-45D7-AC80-EEFA77DCD6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3D-45D7-AC80-EEFA77DCD6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43D-45D7-AC80-EEFA77DCD6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3D-45D7-AC80-EEFA77DCD62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43D-45D7-AC80-EEFA77DCD62F}"/>
              </c:ext>
            </c:extLst>
          </c:dPt>
          <c:dLbls>
            <c:dLbl>
              <c:idx val="0"/>
              <c:layout>
                <c:manualLayout>
                  <c:x val="0.10833333333333334"/>
                  <c:y val="-6.944444444444448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3D-45D7-AC80-EEFA77DCD62F}"/>
                </c:ext>
              </c:extLst>
            </c:dLbl>
            <c:dLbl>
              <c:idx val="1"/>
              <c:layout>
                <c:manualLayout>
                  <c:x val="0.18055555555555555"/>
                  <c:y val="6.48148148148148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3D-45D7-AC80-EEFA77DCD62F}"/>
                </c:ext>
              </c:extLst>
            </c:dLbl>
            <c:dLbl>
              <c:idx val="2"/>
              <c:layout>
                <c:manualLayout>
                  <c:x val="0.11666666666666657"/>
                  <c:y val="0.12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3D-45D7-AC80-EEFA77DCD62F}"/>
                </c:ext>
              </c:extLst>
            </c:dLbl>
            <c:dLbl>
              <c:idx val="3"/>
              <c:layout>
                <c:manualLayout>
                  <c:x val="3.3333333333333333E-2"/>
                  <c:y val="0.152777777777777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3D-45D7-AC80-EEFA77DCD62F}"/>
                </c:ext>
              </c:extLst>
            </c:dLbl>
            <c:dLbl>
              <c:idx val="4"/>
              <c:layout>
                <c:manualLayout>
                  <c:x val="-4.4444444444444495E-2"/>
                  <c:y val="0.1481481481481481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3D-45D7-AC80-EEFA77DCD62F}"/>
                </c:ext>
              </c:extLst>
            </c:dLbl>
            <c:dLbl>
              <c:idx val="5"/>
              <c:layout>
                <c:manualLayout>
                  <c:x val="-0.1472222222222222"/>
                  <c:y val="0.1203703703703703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3D-45D7-AC80-EEFA77DCD62F}"/>
                </c:ext>
              </c:extLst>
            </c:dLbl>
            <c:dLbl>
              <c:idx val="6"/>
              <c:layout>
                <c:manualLayout>
                  <c:x val="-0.12777777777777777"/>
                  <c:y val="1.85185185185185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3D-45D7-AC80-EEFA77DCD62F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Tables'!$A$69:$A$76</c:f>
              <c:strCache>
                <c:ptCount val="7"/>
                <c:pt idx="0">
                  <c:v>Bar</c:v>
                </c:pt>
                <c:pt idx="1">
                  <c:v>Flip phone</c:v>
                </c:pt>
                <c:pt idx="2">
                  <c:v>Keyboard bar</c:v>
                </c:pt>
                <c:pt idx="3">
                  <c:v>Slider</c:v>
                </c:pt>
                <c:pt idx="4">
                  <c:v>Taco</c:v>
                </c:pt>
                <c:pt idx="5">
                  <c:v>Tilt slider</c:v>
                </c:pt>
                <c:pt idx="6">
                  <c:v>Touchscreen</c:v>
                </c:pt>
              </c:strCache>
            </c:strRef>
          </c:cat>
          <c:val>
            <c:numRef>
              <c:f>'Pivot Tables'!$B$69:$B$76</c:f>
              <c:numCache>
                <c:formatCode>General</c:formatCode>
                <c:ptCount val="7"/>
                <c:pt idx="0">
                  <c:v>2466.5</c:v>
                </c:pt>
                <c:pt idx="1">
                  <c:v>235</c:v>
                </c:pt>
                <c:pt idx="2">
                  <c:v>17</c:v>
                </c:pt>
                <c:pt idx="3">
                  <c:v>116</c:v>
                </c:pt>
                <c:pt idx="4">
                  <c:v>3</c:v>
                </c:pt>
                <c:pt idx="5">
                  <c:v>2</c:v>
                </c:pt>
                <c:pt idx="6">
                  <c:v>2948.8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D-45D7-AC80-EEFA77DCD6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[MobilePhones_actual.xlsx]Pivot Tables!Top 10 Mobile Phones Sold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Tables'!$A$87:$A$97</c:f>
              <c:strCache>
                <c:ptCount val="10"/>
                <c:pt idx="0">
                  <c:v>iPhone XR, iPhone XS and iPhone XS Max</c:v>
                </c:pt>
                <c:pt idx="1">
                  <c:v>iPhone 11, iPhone 11 Pro and iPhone 11 Pro Max</c:v>
                </c:pt>
                <c:pt idx="2">
                  <c:v>iPhone 7 and iPhone 7 Plus</c:v>
                </c:pt>
                <c:pt idx="3">
                  <c:v>3210</c:v>
                </c:pt>
                <c:pt idx="4">
                  <c:v>iPhone 5S</c:v>
                </c:pt>
                <c:pt idx="5">
                  <c:v>iPhone 6S and iPhone 6S Plus</c:v>
                </c:pt>
                <c:pt idx="6">
                  <c:v>105 series</c:v>
                </c:pt>
                <c:pt idx="7">
                  <c:v>iPhone 6 and iPhone 6 Plus</c:v>
                </c:pt>
                <c:pt idx="8">
                  <c:v>1110</c:v>
                </c:pt>
                <c:pt idx="9">
                  <c:v>1100</c:v>
                </c:pt>
              </c:strCache>
            </c:strRef>
          </c:cat>
          <c:val>
            <c:numRef>
              <c:f>'Pivot Tables'!$B$87:$B$97</c:f>
              <c:numCache>
                <c:formatCode>General</c:formatCode>
                <c:ptCount val="10"/>
                <c:pt idx="0">
                  <c:v>151.1</c:v>
                </c:pt>
                <c:pt idx="1">
                  <c:v>159.19999999999999</c:v>
                </c:pt>
                <c:pt idx="2">
                  <c:v>159.9</c:v>
                </c:pt>
                <c:pt idx="3">
                  <c:v>161</c:v>
                </c:pt>
                <c:pt idx="4">
                  <c:v>164.5</c:v>
                </c:pt>
                <c:pt idx="5">
                  <c:v>174.1</c:v>
                </c:pt>
                <c:pt idx="6">
                  <c:v>200</c:v>
                </c:pt>
                <c:pt idx="7">
                  <c:v>222.4</c:v>
                </c:pt>
                <c:pt idx="8">
                  <c:v>247.5</c:v>
                </c:pt>
                <c:pt idx="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B-4F45-B2F1-707ED52797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5314368"/>
        <c:axId val="875305728"/>
      </c:barChart>
      <c:catAx>
        <c:axId val="875314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05728"/>
        <c:crosses val="autoZero"/>
        <c:auto val="1"/>
        <c:lblAlgn val="ctr"/>
        <c:lblOffset val="100"/>
        <c:noMultiLvlLbl val="0"/>
      </c:catAx>
      <c:valAx>
        <c:axId val="8753057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87531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[MobilePhones_actual.xlsx]Pivot Tables!Total Phone Models by company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Tables'!$B$104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Tables'!$A$105:$A$119</c:f>
              <c:strCache>
                <c:ptCount val="14"/>
                <c:pt idx="0">
                  <c:v>Apple</c:v>
                </c:pt>
                <c:pt idx="1">
                  <c:v>Google</c:v>
                </c:pt>
                <c:pt idx="2">
                  <c:v>HTC</c:v>
                </c:pt>
                <c:pt idx="3">
                  <c:v>Huawei</c:v>
                </c:pt>
                <c:pt idx="4">
                  <c:v>LeTV</c:v>
                </c:pt>
                <c:pt idx="5">
                  <c:v>LG</c:v>
                </c:pt>
                <c:pt idx="6">
                  <c:v>Motorola</c:v>
                </c:pt>
                <c:pt idx="7">
                  <c:v>Nokia</c:v>
                </c:pt>
                <c:pt idx="8">
                  <c:v>Oppo</c:v>
                </c:pt>
                <c:pt idx="9">
                  <c:v>Palm</c:v>
                </c:pt>
                <c:pt idx="10">
                  <c:v>Research in Motion (RIM)</c:v>
                </c:pt>
                <c:pt idx="11">
                  <c:v>Samsung</c:v>
                </c:pt>
                <c:pt idx="12">
                  <c:v>Sony Ericsson</c:v>
                </c:pt>
                <c:pt idx="13">
                  <c:v>Xiaomi</c:v>
                </c:pt>
              </c:strCache>
            </c:strRef>
          </c:cat>
          <c:val>
            <c:numRef>
              <c:f>'Pivot Tables'!$B$105:$B$119</c:f>
              <c:numCache>
                <c:formatCode>General</c:formatCode>
                <c:ptCount val="14"/>
                <c:pt idx="0">
                  <c:v>16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7</c:v>
                </c:pt>
                <c:pt idx="6">
                  <c:v>5</c:v>
                </c:pt>
                <c:pt idx="7">
                  <c:v>27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45</c:v>
                </c:pt>
                <c:pt idx="12">
                  <c:v>3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A-46E0-80C1-45938BAFE9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75147640"/>
        <c:axId val="1275153400"/>
      </c:barChart>
      <c:catAx>
        <c:axId val="127514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153400"/>
        <c:crosses val="autoZero"/>
        <c:auto val="1"/>
        <c:lblAlgn val="ctr"/>
        <c:lblOffset val="100"/>
        <c:noMultiLvlLbl val="0"/>
      </c:catAx>
      <c:valAx>
        <c:axId val="12751534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7514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[MobilePhones_actual.xlsx]Pivot Tables!Units Sold by Company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00B0F0"/>
              </a:gs>
              <a:gs pos="100000">
                <a:srgbClr val="7030A0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B0F0"/>
                </a:gs>
                <a:gs pos="100000">
                  <a:srgbClr val="7030A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Tables'!$A$8:$A$22</c:f>
              <c:strCache>
                <c:ptCount val="14"/>
                <c:pt idx="0">
                  <c:v>Apple</c:v>
                </c:pt>
                <c:pt idx="1">
                  <c:v>Google</c:v>
                </c:pt>
                <c:pt idx="2">
                  <c:v>HTC</c:v>
                </c:pt>
                <c:pt idx="3">
                  <c:v>Huawei</c:v>
                </c:pt>
                <c:pt idx="4">
                  <c:v>LeTV</c:v>
                </c:pt>
                <c:pt idx="5">
                  <c:v>LG</c:v>
                </c:pt>
                <c:pt idx="6">
                  <c:v>Motorola</c:v>
                </c:pt>
                <c:pt idx="7">
                  <c:v>Nokia</c:v>
                </c:pt>
                <c:pt idx="8">
                  <c:v>Oppo</c:v>
                </c:pt>
                <c:pt idx="9">
                  <c:v>Palm</c:v>
                </c:pt>
                <c:pt idx="10">
                  <c:v>Research in Motion (RIM)</c:v>
                </c:pt>
                <c:pt idx="11">
                  <c:v>Samsung</c:v>
                </c:pt>
                <c:pt idx="12">
                  <c:v>Sony Ericsson</c:v>
                </c:pt>
                <c:pt idx="13">
                  <c:v>Xiaomi</c:v>
                </c:pt>
              </c:strCache>
            </c:strRef>
          </c:cat>
          <c:val>
            <c:numRef>
              <c:f>'Pivot Tables'!$B$8:$B$22</c:f>
              <c:numCache>
                <c:formatCode>General</c:formatCode>
                <c:ptCount val="14"/>
                <c:pt idx="0">
                  <c:v>1669.3</c:v>
                </c:pt>
                <c:pt idx="1">
                  <c:v>2.1</c:v>
                </c:pt>
                <c:pt idx="2">
                  <c:v>16</c:v>
                </c:pt>
                <c:pt idx="3">
                  <c:v>113.8</c:v>
                </c:pt>
                <c:pt idx="4">
                  <c:v>3</c:v>
                </c:pt>
                <c:pt idx="5">
                  <c:v>92</c:v>
                </c:pt>
                <c:pt idx="6">
                  <c:v>323</c:v>
                </c:pt>
                <c:pt idx="7">
                  <c:v>2376.5</c:v>
                </c:pt>
                <c:pt idx="8">
                  <c:v>16.7</c:v>
                </c:pt>
                <c:pt idx="9">
                  <c:v>2</c:v>
                </c:pt>
                <c:pt idx="10">
                  <c:v>15</c:v>
                </c:pt>
                <c:pt idx="11">
                  <c:v>1014.8</c:v>
                </c:pt>
                <c:pt idx="12">
                  <c:v>45</c:v>
                </c:pt>
                <c:pt idx="13">
                  <c:v>99.1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8-49F2-94EC-CB239A3BD0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7"/>
        <c:axId val="1171920120"/>
        <c:axId val="1171920480"/>
      </c:barChart>
      <c:catAx>
        <c:axId val="117192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920480"/>
        <c:crosses val="autoZero"/>
        <c:auto val="1"/>
        <c:lblAlgn val="ctr"/>
        <c:lblOffset val="100"/>
        <c:noMultiLvlLbl val="0"/>
      </c:catAx>
      <c:valAx>
        <c:axId val="1171920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1920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[MobilePhones_actual.xlsx]Pivot Tables!Units Sold by Year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rgbClr val="7030A0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Tables'!$B$31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rgbClr val="7030A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Tables'!$A$32:$A$57</c:f>
              <c:strCache>
                <c:ptCount val="25"/>
                <c:pt idx="0">
                  <c:v>1996</c:v>
                </c:pt>
                <c:pt idx="1">
                  <c:v>1999</c:v>
                </c:pt>
                <c:pt idx="2">
                  <c:v>2000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'Pivot Tables'!$B$32:$B$57</c:f>
              <c:numCache>
                <c:formatCode>General</c:formatCode>
                <c:ptCount val="25"/>
                <c:pt idx="0">
                  <c:v>60</c:v>
                </c:pt>
                <c:pt idx="1">
                  <c:v>161</c:v>
                </c:pt>
                <c:pt idx="2">
                  <c:v>126</c:v>
                </c:pt>
                <c:pt idx="3">
                  <c:v>543</c:v>
                </c:pt>
                <c:pt idx="4">
                  <c:v>440</c:v>
                </c:pt>
                <c:pt idx="5">
                  <c:v>497.5</c:v>
                </c:pt>
                <c:pt idx="6">
                  <c:v>158</c:v>
                </c:pt>
                <c:pt idx="7">
                  <c:v>353</c:v>
                </c:pt>
                <c:pt idx="8">
                  <c:v>70</c:v>
                </c:pt>
                <c:pt idx="9">
                  <c:v>360</c:v>
                </c:pt>
                <c:pt idx="10">
                  <c:v>175</c:v>
                </c:pt>
                <c:pt idx="11">
                  <c:v>139</c:v>
                </c:pt>
                <c:pt idx="12">
                  <c:v>256.2</c:v>
                </c:pt>
                <c:pt idx="13">
                  <c:v>447.5</c:v>
                </c:pt>
                <c:pt idx="14">
                  <c:v>236.9</c:v>
                </c:pt>
                <c:pt idx="15">
                  <c:v>219.1</c:v>
                </c:pt>
                <c:pt idx="16">
                  <c:v>267</c:v>
                </c:pt>
                <c:pt idx="17">
                  <c:v>255.7</c:v>
                </c:pt>
                <c:pt idx="18">
                  <c:v>281.29999999999995</c:v>
                </c:pt>
                <c:pt idx="19">
                  <c:v>436.49999999999994</c:v>
                </c:pt>
                <c:pt idx="20">
                  <c:v>240.9</c:v>
                </c:pt>
                <c:pt idx="21">
                  <c:v>31.8</c:v>
                </c:pt>
                <c:pt idx="22">
                  <c:v>10.9</c:v>
                </c:pt>
                <c:pt idx="23">
                  <c:v>12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A-49F2-A1A5-AC7EBD7B12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00B0F0">
                  <a:alpha val="33000"/>
                </a:srgbClr>
              </a:solidFill>
              <a:round/>
            </a:ln>
            <a:effectLst/>
          </c:spPr>
        </c:dropLines>
        <c:marker val="1"/>
        <c:smooth val="0"/>
        <c:axId val="1171916880"/>
        <c:axId val="1171919040"/>
      </c:lineChart>
      <c:catAx>
        <c:axId val="117191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spc="2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919040"/>
        <c:crosses val="autoZero"/>
        <c:auto val="1"/>
        <c:lblAlgn val="ctr"/>
        <c:lblOffset val="100"/>
        <c:noMultiLvlLbl val="0"/>
      </c:catAx>
      <c:valAx>
        <c:axId val="11719190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191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[MobilePhones_actual.xlsx]Pivot Tables!Units Sold by Form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833333333333334"/>
              <c:y val="-6.9444444444444489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055555555555555"/>
              <c:y val="6.481481481481481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57"/>
              <c:y val="0.125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2222222222222"/>
              <c:y val="0.1203703703703703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444444444444495E-2"/>
              <c:y val="0.14814814814814814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0.152777777777777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77777777777777"/>
              <c:y val="1.8518518518518517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833333333333334"/>
              <c:y val="-6.9444444444444489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055555555555555"/>
              <c:y val="6.481481481481481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666666666666657"/>
              <c:y val="0.125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3333333333333333E-2"/>
              <c:y val="0.152777777777777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444444444444495E-2"/>
              <c:y val="0.14814814814814814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472222222222222"/>
              <c:y val="0.1203703703703703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77777777777777"/>
              <c:y val="1.8518518518518517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0833333333333334"/>
              <c:y val="-6.9444444444444489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8055555555555555"/>
              <c:y val="6.481481481481481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0.11666666666666657"/>
              <c:y val="0.125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3.3333333333333333E-2"/>
              <c:y val="0.152777777777777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4.4444444444444495E-2"/>
              <c:y val="0.14814814814814814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1472222222222222"/>
              <c:y val="0.12037037037037036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noFill/>
          </a:ln>
          <a:effectLst/>
        </c:spPr>
        <c:dLbl>
          <c:idx val="0"/>
          <c:layout>
            <c:manualLayout>
              <c:x val="-0.12777777777777777"/>
              <c:y val="1.8518518518518517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A8-4A5D-9D16-41011089A1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A8-4A5D-9D16-41011089A1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A8-4A5D-9D16-41011089A1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A8-4A5D-9D16-41011089A1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A8-4A5D-9D16-41011089A1B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EA8-4A5D-9D16-41011089A1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EA8-4A5D-9D16-41011089A1B8}"/>
              </c:ext>
            </c:extLst>
          </c:dPt>
          <c:dLbls>
            <c:dLbl>
              <c:idx val="0"/>
              <c:layout>
                <c:manualLayout>
                  <c:x val="0.10833333333333334"/>
                  <c:y val="-6.944444444444448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A8-4A5D-9D16-41011089A1B8}"/>
                </c:ext>
              </c:extLst>
            </c:dLbl>
            <c:dLbl>
              <c:idx val="1"/>
              <c:layout>
                <c:manualLayout>
                  <c:x val="0.18055555555555555"/>
                  <c:y val="6.481481481481481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A8-4A5D-9D16-41011089A1B8}"/>
                </c:ext>
              </c:extLst>
            </c:dLbl>
            <c:dLbl>
              <c:idx val="2"/>
              <c:layout>
                <c:manualLayout>
                  <c:x val="0.11666666666666657"/>
                  <c:y val="0.12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A8-4A5D-9D16-41011089A1B8}"/>
                </c:ext>
              </c:extLst>
            </c:dLbl>
            <c:dLbl>
              <c:idx val="3"/>
              <c:layout>
                <c:manualLayout>
                  <c:x val="3.3333333333333333E-2"/>
                  <c:y val="0.152777777777777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A8-4A5D-9D16-41011089A1B8}"/>
                </c:ext>
              </c:extLst>
            </c:dLbl>
            <c:dLbl>
              <c:idx val="4"/>
              <c:layout>
                <c:manualLayout>
                  <c:x val="-4.4444444444444495E-2"/>
                  <c:y val="0.1481481481481481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A8-4A5D-9D16-41011089A1B8}"/>
                </c:ext>
              </c:extLst>
            </c:dLbl>
            <c:dLbl>
              <c:idx val="5"/>
              <c:layout>
                <c:manualLayout>
                  <c:x val="-0.1472222222222222"/>
                  <c:y val="0.1203703703703703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A8-4A5D-9D16-41011089A1B8}"/>
                </c:ext>
              </c:extLst>
            </c:dLbl>
            <c:dLbl>
              <c:idx val="6"/>
              <c:layout>
                <c:manualLayout>
                  <c:x val="-0.12777777777777777"/>
                  <c:y val="1.85185185185185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EA8-4A5D-9D16-41011089A1B8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Tables'!$A$69:$A$76</c:f>
              <c:strCache>
                <c:ptCount val="7"/>
                <c:pt idx="0">
                  <c:v>Bar</c:v>
                </c:pt>
                <c:pt idx="1">
                  <c:v>Flip phone</c:v>
                </c:pt>
                <c:pt idx="2">
                  <c:v>Keyboard bar</c:v>
                </c:pt>
                <c:pt idx="3">
                  <c:v>Slider</c:v>
                </c:pt>
                <c:pt idx="4">
                  <c:v>Taco</c:v>
                </c:pt>
                <c:pt idx="5">
                  <c:v>Tilt slider</c:v>
                </c:pt>
                <c:pt idx="6">
                  <c:v>Touchscreen</c:v>
                </c:pt>
              </c:strCache>
            </c:strRef>
          </c:cat>
          <c:val>
            <c:numRef>
              <c:f>'Pivot Tables'!$B$69:$B$76</c:f>
              <c:numCache>
                <c:formatCode>General</c:formatCode>
                <c:ptCount val="7"/>
                <c:pt idx="0">
                  <c:v>2466.5</c:v>
                </c:pt>
                <c:pt idx="1">
                  <c:v>235</c:v>
                </c:pt>
                <c:pt idx="2">
                  <c:v>17</c:v>
                </c:pt>
                <c:pt idx="3">
                  <c:v>116</c:v>
                </c:pt>
                <c:pt idx="4">
                  <c:v>3</c:v>
                </c:pt>
                <c:pt idx="5">
                  <c:v>2</c:v>
                </c:pt>
                <c:pt idx="6">
                  <c:v>2948.8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EA8-4A5D-9D16-41011089A1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8"/>
        <c:holeSize val="52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208469148087141"/>
          <c:y val="0.13388706672914069"/>
          <c:w val="0.23899715486354389"/>
          <c:h val="0.738030924654011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[MobilePhones_actual.xlsx]Pivot Tables!Top 10 Mobile Phones Sold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rgbClr val="00B0F0"/>
              </a:gs>
              <a:gs pos="19000">
                <a:srgbClr val="7030A0"/>
              </a:gs>
            </a:gsLst>
            <a:lin ang="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Tables'!$B$86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rgbClr val="00B0F0"/>
                </a:gs>
                <a:gs pos="19000">
                  <a:srgbClr val="7030A0"/>
                </a:gs>
              </a:gsLst>
              <a:lin ang="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Tables'!$A$87:$A$97</c:f>
              <c:strCache>
                <c:ptCount val="10"/>
                <c:pt idx="0">
                  <c:v>iPhone XR, iPhone XS and iPhone XS Max</c:v>
                </c:pt>
                <c:pt idx="1">
                  <c:v>iPhone 11, iPhone 11 Pro and iPhone 11 Pro Max</c:v>
                </c:pt>
                <c:pt idx="2">
                  <c:v>iPhone 7 and iPhone 7 Plus</c:v>
                </c:pt>
                <c:pt idx="3">
                  <c:v>3210</c:v>
                </c:pt>
                <c:pt idx="4">
                  <c:v>iPhone 5S</c:v>
                </c:pt>
                <c:pt idx="5">
                  <c:v>iPhone 6S and iPhone 6S Plus</c:v>
                </c:pt>
                <c:pt idx="6">
                  <c:v>105 series</c:v>
                </c:pt>
                <c:pt idx="7">
                  <c:v>iPhone 6 and iPhone 6 Plus</c:v>
                </c:pt>
                <c:pt idx="8">
                  <c:v>1110</c:v>
                </c:pt>
                <c:pt idx="9">
                  <c:v>1100</c:v>
                </c:pt>
              </c:strCache>
            </c:strRef>
          </c:cat>
          <c:val>
            <c:numRef>
              <c:f>'Pivot Tables'!$B$87:$B$97</c:f>
              <c:numCache>
                <c:formatCode>General</c:formatCode>
                <c:ptCount val="10"/>
                <c:pt idx="0">
                  <c:v>151.1</c:v>
                </c:pt>
                <c:pt idx="1">
                  <c:v>159.19999999999999</c:v>
                </c:pt>
                <c:pt idx="2">
                  <c:v>159.9</c:v>
                </c:pt>
                <c:pt idx="3">
                  <c:v>161</c:v>
                </c:pt>
                <c:pt idx="4">
                  <c:v>164.5</c:v>
                </c:pt>
                <c:pt idx="5">
                  <c:v>174.1</c:v>
                </c:pt>
                <c:pt idx="6">
                  <c:v>200</c:v>
                </c:pt>
                <c:pt idx="7">
                  <c:v>222.4</c:v>
                </c:pt>
                <c:pt idx="8">
                  <c:v>247.5</c:v>
                </c:pt>
                <c:pt idx="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B-4262-88C4-DA3FE91B12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6"/>
        <c:axId val="875314368"/>
        <c:axId val="875305728"/>
      </c:barChart>
      <c:catAx>
        <c:axId val="8753143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05728"/>
        <c:crosses val="autoZero"/>
        <c:auto val="1"/>
        <c:lblAlgn val="ctr"/>
        <c:lblOffset val="100"/>
        <c:noMultiLvlLbl val="0"/>
      </c:catAx>
      <c:valAx>
        <c:axId val="87530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531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[MobilePhones_actual.xlsx]Pivot Tables!Total Phone Models by company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00B0F0"/>
              </a:gs>
              <a:gs pos="100000">
                <a:srgbClr val="7030A0"/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Tables'!$B$104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00B0F0"/>
                </a:gs>
                <a:gs pos="100000">
                  <a:srgbClr val="7030A0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Tables'!$A$105:$A$119</c:f>
              <c:strCache>
                <c:ptCount val="14"/>
                <c:pt idx="0">
                  <c:v>Apple</c:v>
                </c:pt>
                <c:pt idx="1">
                  <c:v>Google</c:v>
                </c:pt>
                <c:pt idx="2">
                  <c:v>HTC</c:v>
                </c:pt>
                <c:pt idx="3">
                  <c:v>Huawei</c:v>
                </c:pt>
                <c:pt idx="4">
                  <c:v>LeTV</c:v>
                </c:pt>
                <c:pt idx="5">
                  <c:v>LG</c:v>
                </c:pt>
                <c:pt idx="6">
                  <c:v>Motorola</c:v>
                </c:pt>
                <c:pt idx="7">
                  <c:v>Nokia</c:v>
                </c:pt>
                <c:pt idx="8">
                  <c:v>Oppo</c:v>
                </c:pt>
                <c:pt idx="9">
                  <c:v>Palm</c:v>
                </c:pt>
                <c:pt idx="10">
                  <c:v>Research in Motion (RIM)</c:v>
                </c:pt>
                <c:pt idx="11">
                  <c:v>Samsung</c:v>
                </c:pt>
                <c:pt idx="12">
                  <c:v>Sony Ericsson</c:v>
                </c:pt>
                <c:pt idx="13">
                  <c:v>Xiaomi</c:v>
                </c:pt>
              </c:strCache>
            </c:strRef>
          </c:cat>
          <c:val>
            <c:numRef>
              <c:f>'Pivot Tables'!$B$105:$B$119</c:f>
              <c:numCache>
                <c:formatCode>General</c:formatCode>
                <c:ptCount val="14"/>
                <c:pt idx="0">
                  <c:v>16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7</c:v>
                </c:pt>
                <c:pt idx="6">
                  <c:v>5</c:v>
                </c:pt>
                <c:pt idx="7">
                  <c:v>27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45</c:v>
                </c:pt>
                <c:pt idx="12">
                  <c:v>3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8-46BE-AD6F-D732CAF8B7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1275147640"/>
        <c:axId val="1275153400"/>
      </c:barChart>
      <c:catAx>
        <c:axId val="127514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153400"/>
        <c:crosses val="autoZero"/>
        <c:auto val="1"/>
        <c:lblAlgn val="ctr"/>
        <c:lblOffset val="100"/>
        <c:noMultiLvlLbl val="0"/>
      </c:catAx>
      <c:valAx>
        <c:axId val="12751534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7514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image" Target="../media/image3.svg"/><Relationship Id="rId7" Type="http://schemas.openxmlformats.org/officeDocument/2006/relationships/chart" Target="../charts/chart9.xml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7</xdr:row>
      <xdr:rowOff>138112</xdr:rowOff>
    </xdr:from>
    <xdr:to>
      <xdr:col>13</xdr:col>
      <xdr:colOff>752475</xdr:colOff>
      <xdr:row>22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A2301A-ECA1-8228-BC7F-6BDC16FAB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31</xdr:row>
      <xdr:rowOff>119062</xdr:rowOff>
    </xdr:from>
    <xdr:to>
      <xdr:col>13</xdr:col>
      <xdr:colOff>523875</xdr:colOff>
      <xdr:row>46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3F214D-1A9E-2DAD-F32E-2AA297C42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66675</xdr:colOff>
      <xdr:row>64</xdr:row>
      <xdr:rowOff>128587</xdr:rowOff>
    </xdr:from>
    <xdr:to>
      <xdr:col>13</xdr:col>
      <xdr:colOff>609600</xdr:colOff>
      <xdr:row>79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DC8595-C176-94A4-5EC9-606528900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266700</xdr:colOff>
      <xdr:row>84</xdr:row>
      <xdr:rowOff>147637</xdr:rowOff>
    </xdr:from>
    <xdr:to>
      <xdr:col>13</xdr:col>
      <xdr:colOff>809625</xdr:colOff>
      <xdr:row>99</xdr:row>
      <xdr:rowOff>33337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CF0E82-EB2A-48E2-A217-AD1833958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552450</xdr:colOff>
      <xdr:row>105</xdr:row>
      <xdr:rowOff>128587</xdr:rowOff>
    </xdr:from>
    <xdr:to>
      <xdr:col>14</xdr:col>
      <xdr:colOff>180975</xdr:colOff>
      <xdr:row>120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503B0C-DFC4-0FC0-52EA-731682646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19218</xdr:colOff>
      <xdr:row>2</xdr:row>
      <xdr:rowOff>136071</xdr:rowOff>
    </xdr:from>
    <xdr:to>
      <xdr:col>27</xdr:col>
      <xdr:colOff>525402</xdr:colOff>
      <xdr:row>41</xdr:row>
      <xdr:rowOff>68036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F5AE0DEE-1459-36A1-2A73-5BF17C4A973B}"/>
            </a:ext>
          </a:extLst>
        </xdr:cNvPr>
        <xdr:cNvGrpSpPr/>
      </xdr:nvGrpSpPr>
      <xdr:grpSpPr>
        <a:xfrm>
          <a:off x="3688850" y="517071"/>
          <a:ext cx="13349894" cy="7361465"/>
          <a:chOff x="3503840" y="408214"/>
          <a:chExt cx="13364934" cy="7449911"/>
        </a:xfrm>
      </xdr:grpSpPr>
      <xdr:pic>
        <xdr:nvPicPr>
          <xdr:cNvPr id="4146" name="Picture 4145">
            <a:extLst>
              <a:ext uri="{FF2B5EF4-FFF2-40B4-BE49-F238E27FC236}">
                <a16:creationId xmlns:a16="http://schemas.microsoft.com/office/drawing/2014/main" id="{1476A968-A0B0-9729-29C7-6C5C0B26CE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503840" y="408214"/>
            <a:ext cx="13244286" cy="7449911"/>
          </a:xfrm>
          <a:prstGeom prst="rect">
            <a:avLst/>
          </a:prstGeom>
        </xdr:spPr>
      </xdr:pic>
      <xdr:sp macro="" textlink="">
        <xdr:nvSpPr>
          <xdr:cNvPr id="4147" name="TextBox 4146">
            <a:extLst>
              <a:ext uri="{FF2B5EF4-FFF2-40B4-BE49-F238E27FC236}">
                <a16:creationId xmlns:a16="http://schemas.microsoft.com/office/drawing/2014/main" id="{407D2DC5-CC67-979A-8EA5-450F3EC6C0FD}"/>
              </a:ext>
            </a:extLst>
          </xdr:cNvPr>
          <xdr:cNvSpPr txBox="1"/>
        </xdr:nvSpPr>
        <xdr:spPr>
          <a:xfrm>
            <a:off x="4138841" y="850446"/>
            <a:ext cx="1542142" cy="7370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solidFill>
                  <a:schemeClr val="accent2">
                    <a:lumMod val="60000"/>
                    <a:lumOff val="40000"/>
                  </a:schemeClr>
                </a:solidFill>
              </a:rPr>
              <a:t>Mobile</a:t>
            </a:r>
            <a:r>
              <a:rPr lang="en-US" sz="1800" b="1" baseline="0">
                <a:solidFill>
                  <a:schemeClr val="accent2">
                    <a:lumMod val="60000"/>
                    <a:lumOff val="40000"/>
                  </a:schemeClr>
                </a:solidFill>
              </a:rPr>
              <a:t> Phones Sales</a:t>
            </a:r>
            <a:endParaRPr lang="en-US" sz="1800" b="1">
              <a:solidFill>
                <a:schemeClr val="accent2">
                  <a:lumMod val="60000"/>
                  <a:lumOff val="40000"/>
                </a:schemeClr>
              </a:solidFill>
            </a:endParaRPr>
          </a:p>
        </xdr:txBody>
      </xdr:sp>
      <xdr:pic>
        <xdr:nvPicPr>
          <xdr:cNvPr id="4149" name="Graphic 4148" descr="A smartphone">
            <a:extLst>
              <a:ext uri="{FF2B5EF4-FFF2-40B4-BE49-F238E27FC236}">
                <a16:creationId xmlns:a16="http://schemas.microsoft.com/office/drawing/2014/main" id="{3C678201-066B-3B89-A96D-D0BA103008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 flipH="1">
            <a:off x="3761467" y="834117"/>
            <a:ext cx="406917" cy="769711"/>
          </a:xfrm>
          <a:prstGeom prst="rect">
            <a:avLst/>
          </a:prstGeom>
        </xdr:spPr>
      </xdr:pic>
      <xdr:sp macro="" textlink="">
        <xdr:nvSpPr>
          <xdr:cNvPr id="4152" name="TextBox 4151">
            <a:extLst>
              <a:ext uri="{FF2B5EF4-FFF2-40B4-BE49-F238E27FC236}">
                <a16:creationId xmlns:a16="http://schemas.microsoft.com/office/drawing/2014/main" id="{5C0893A8-8D04-4AD2-B7B2-A8D918A57054}"/>
              </a:ext>
            </a:extLst>
          </xdr:cNvPr>
          <xdr:cNvSpPr txBox="1"/>
        </xdr:nvSpPr>
        <xdr:spPr>
          <a:xfrm>
            <a:off x="3985079" y="2182133"/>
            <a:ext cx="1559832" cy="3918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 b="1">
                <a:solidFill>
                  <a:schemeClr val="bg1">
                    <a:lumMod val="95000"/>
                  </a:schemeClr>
                </a:solidFill>
              </a:rPr>
              <a:t>Manufacturers</a:t>
            </a:r>
          </a:p>
        </xdr:txBody>
      </xdr:sp>
      <xdr:sp macro="" textlink="">
        <xdr:nvSpPr>
          <xdr:cNvPr id="4153" name="TextBox 4152">
            <a:extLst>
              <a:ext uri="{FF2B5EF4-FFF2-40B4-BE49-F238E27FC236}">
                <a16:creationId xmlns:a16="http://schemas.microsoft.com/office/drawing/2014/main" id="{A69A4122-C50D-46A1-AC63-E943E3CA20A5}"/>
              </a:ext>
            </a:extLst>
          </xdr:cNvPr>
          <xdr:cNvSpPr txBox="1"/>
        </xdr:nvSpPr>
        <xdr:spPr>
          <a:xfrm>
            <a:off x="3985079" y="3305931"/>
            <a:ext cx="1548492" cy="61746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 b="1">
                <a:solidFill>
                  <a:schemeClr val="bg1">
                    <a:lumMod val="95000"/>
                  </a:schemeClr>
                </a:solidFill>
              </a:rPr>
              <a:t>Total</a:t>
            </a:r>
            <a:r>
              <a:rPr lang="en-US" sz="1600" b="1" baseline="0">
                <a:solidFill>
                  <a:schemeClr val="bg1">
                    <a:lumMod val="95000"/>
                  </a:schemeClr>
                </a:solidFill>
              </a:rPr>
              <a:t> Units Sold(Millions)</a:t>
            </a:r>
            <a:endParaRPr lang="en-US" sz="1600" b="1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4154" name="TextBox 4153">
            <a:extLst>
              <a:ext uri="{FF2B5EF4-FFF2-40B4-BE49-F238E27FC236}">
                <a16:creationId xmlns:a16="http://schemas.microsoft.com/office/drawing/2014/main" id="{10947F99-51A2-4421-B729-3B0A29BDE677}"/>
              </a:ext>
            </a:extLst>
          </xdr:cNvPr>
          <xdr:cNvSpPr txBox="1"/>
        </xdr:nvSpPr>
        <xdr:spPr>
          <a:xfrm>
            <a:off x="3944711" y="4667854"/>
            <a:ext cx="1645555" cy="6275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600" b="1">
                <a:solidFill>
                  <a:schemeClr val="bg1">
                    <a:lumMod val="95000"/>
                  </a:schemeClr>
                </a:solidFill>
              </a:rPr>
              <a:t>Total</a:t>
            </a:r>
            <a:r>
              <a:rPr lang="en-US" sz="1600" b="1" baseline="0">
                <a:solidFill>
                  <a:schemeClr val="bg1">
                    <a:lumMod val="95000"/>
                  </a:schemeClr>
                </a:solidFill>
              </a:rPr>
              <a:t> Models Ascessed</a:t>
            </a:r>
            <a:endParaRPr lang="en-US" sz="1600" b="1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4155" name="TextBox 4154">
            <a:extLst>
              <a:ext uri="{FF2B5EF4-FFF2-40B4-BE49-F238E27FC236}">
                <a16:creationId xmlns:a16="http://schemas.microsoft.com/office/drawing/2014/main" id="{6C69B39D-AF0F-4877-BF40-ABD5090124C0}"/>
              </a:ext>
            </a:extLst>
          </xdr:cNvPr>
          <xdr:cNvSpPr txBox="1"/>
        </xdr:nvSpPr>
        <xdr:spPr>
          <a:xfrm>
            <a:off x="3967391" y="6154511"/>
            <a:ext cx="1577519" cy="388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solidFill>
                  <a:schemeClr val="bg1">
                    <a:lumMod val="95000"/>
                  </a:schemeClr>
                </a:solidFill>
              </a:rPr>
              <a:t>Spans Over</a:t>
            </a:r>
          </a:p>
        </xdr:txBody>
      </xdr:sp>
      <xdr:sp macro="" textlink="">
        <xdr:nvSpPr>
          <xdr:cNvPr id="4156" name="TextBox 4155">
            <a:extLst>
              <a:ext uri="{FF2B5EF4-FFF2-40B4-BE49-F238E27FC236}">
                <a16:creationId xmlns:a16="http://schemas.microsoft.com/office/drawing/2014/main" id="{E03608B5-A0AF-4765-98D3-697A3F4E3282}"/>
              </a:ext>
            </a:extLst>
          </xdr:cNvPr>
          <xdr:cNvSpPr txBox="1"/>
        </xdr:nvSpPr>
        <xdr:spPr>
          <a:xfrm>
            <a:off x="4143829" y="2556478"/>
            <a:ext cx="1224643" cy="9246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3600" b="1">
                <a:solidFill>
                  <a:schemeClr val="accent2">
                    <a:lumMod val="40000"/>
                    <a:lumOff val="60000"/>
                  </a:schemeClr>
                </a:solidFill>
              </a:rPr>
              <a:t>14</a:t>
            </a:r>
          </a:p>
        </xdr:txBody>
      </xdr:sp>
      <xdr:sp macro="" textlink="">
        <xdr:nvSpPr>
          <xdr:cNvPr id="4157" name="TextBox 4156">
            <a:extLst>
              <a:ext uri="{FF2B5EF4-FFF2-40B4-BE49-F238E27FC236}">
                <a16:creationId xmlns:a16="http://schemas.microsoft.com/office/drawing/2014/main" id="{45899480-861B-4FCB-9788-D79602790FE1}"/>
              </a:ext>
            </a:extLst>
          </xdr:cNvPr>
          <xdr:cNvSpPr txBox="1"/>
        </xdr:nvSpPr>
        <xdr:spPr>
          <a:xfrm>
            <a:off x="4022530" y="3935940"/>
            <a:ext cx="1467241" cy="731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3600" b="1">
                <a:solidFill>
                  <a:schemeClr val="accent2">
                    <a:lumMod val="40000"/>
                    <a:lumOff val="60000"/>
                  </a:schemeClr>
                </a:solidFill>
              </a:rPr>
              <a:t>5788.3</a:t>
            </a:r>
          </a:p>
        </xdr:txBody>
      </xdr:sp>
      <xdr:sp macro="" textlink="">
        <xdr:nvSpPr>
          <xdr:cNvPr id="4158" name="TextBox 4157">
            <a:extLst>
              <a:ext uri="{FF2B5EF4-FFF2-40B4-BE49-F238E27FC236}">
                <a16:creationId xmlns:a16="http://schemas.microsoft.com/office/drawing/2014/main" id="{C3B3E338-9625-4910-B36E-5D22BFA5ECBC}"/>
              </a:ext>
            </a:extLst>
          </xdr:cNvPr>
          <xdr:cNvSpPr txBox="1"/>
        </xdr:nvSpPr>
        <xdr:spPr>
          <a:xfrm>
            <a:off x="4022530" y="5243889"/>
            <a:ext cx="1467241" cy="731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3600" b="1">
                <a:solidFill>
                  <a:schemeClr val="accent2">
                    <a:lumMod val="40000"/>
                    <a:lumOff val="60000"/>
                  </a:schemeClr>
                </a:solidFill>
              </a:rPr>
              <a:t>123</a:t>
            </a:r>
          </a:p>
        </xdr:txBody>
      </xdr:sp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7B87D36F-7F62-42B2-A45B-46BBE44F3D7A}"/>
              </a:ext>
            </a:extLst>
          </xdr:cNvPr>
          <xdr:cNvSpPr txBox="1"/>
        </xdr:nvSpPr>
        <xdr:spPr>
          <a:xfrm>
            <a:off x="4022530" y="6576785"/>
            <a:ext cx="1467241" cy="731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3600" b="1">
                <a:solidFill>
                  <a:schemeClr val="accent2">
                    <a:lumMod val="40000"/>
                    <a:lumOff val="60000"/>
                  </a:schemeClr>
                </a:solidFill>
              </a:rPr>
              <a:t>28</a:t>
            </a:r>
          </a:p>
        </xdr:txBody>
      </xdr:sp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5137897E-26A4-4A16-88EF-37232A81B67F}"/>
              </a:ext>
            </a:extLst>
          </xdr:cNvPr>
          <xdr:cNvGraphicFramePr>
            <a:graphicFrameLocks/>
          </xdr:cNvGraphicFramePr>
        </xdr:nvGraphicFramePr>
        <xdr:xfrm>
          <a:off x="6161882" y="2324554"/>
          <a:ext cx="3549197" cy="24710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33D1ADD8-FDE2-4DE6-A42A-12B18660F89D}"/>
              </a:ext>
            </a:extLst>
          </xdr:cNvPr>
          <xdr:cNvSpPr txBox="1"/>
        </xdr:nvSpPr>
        <xdr:spPr>
          <a:xfrm>
            <a:off x="6149863" y="2037216"/>
            <a:ext cx="3573235" cy="3578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bg1">
                    <a:lumMod val="95000"/>
                  </a:schemeClr>
                </a:solidFill>
              </a:rPr>
              <a:t>Mobile Phone</a:t>
            </a:r>
            <a:r>
              <a:rPr lang="en-US" sz="1400" b="1" baseline="0">
                <a:solidFill>
                  <a:schemeClr val="bg1">
                    <a:lumMod val="95000"/>
                  </a:schemeClr>
                </a:solidFill>
              </a:rPr>
              <a:t> Sales By Manufacturer</a:t>
            </a:r>
            <a:endParaRPr lang="en-US" sz="1400" b="1">
              <a:solidFill>
                <a:schemeClr val="bg1">
                  <a:lumMod val="95000"/>
                </a:schemeClr>
              </a:solidFill>
            </a:endParaRPr>
          </a:p>
        </xdr:txBody>
      </xdr:sp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206EAD09-F942-45FD-8738-F346BA0CE4BD}"/>
              </a:ext>
            </a:extLst>
          </xdr:cNvPr>
          <xdr:cNvGraphicFramePr>
            <a:graphicFrameLocks/>
          </xdr:cNvGraphicFramePr>
        </xdr:nvGraphicFramePr>
        <xdr:xfrm>
          <a:off x="9918434" y="2209970"/>
          <a:ext cx="3515179" cy="24483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65D54B0-DEFC-4161-BF45-0D8A9360B731}"/>
              </a:ext>
            </a:extLst>
          </xdr:cNvPr>
          <xdr:cNvSpPr txBox="1"/>
        </xdr:nvSpPr>
        <xdr:spPr>
          <a:xfrm>
            <a:off x="9841821" y="2037216"/>
            <a:ext cx="3573235" cy="3578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bg1">
                    <a:lumMod val="95000"/>
                  </a:schemeClr>
                </a:solidFill>
              </a:rPr>
              <a:t>Mobile Phone</a:t>
            </a:r>
            <a:r>
              <a:rPr lang="en-US" sz="1400" b="1" baseline="0">
                <a:solidFill>
                  <a:schemeClr val="bg1">
                    <a:lumMod val="95000"/>
                  </a:schemeClr>
                </a:solidFill>
              </a:rPr>
              <a:t> Sales By Year</a:t>
            </a:r>
            <a:endParaRPr lang="en-US" sz="1400" b="1">
              <a:solidFill>
                <a:schemeClr val="bg1">
                  <a:lumMod val="95000"/>
                </a:schemeClr>
              </a:solidFill>
            </a:endParaRPr>
          </a:p>
        </xdr:txBody>
      </xdr:sp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E06650BA-DBF3-4A58-ADCB-919052E2C489}"/>
              </a:ext>
            </a:extLst>
          </xdr:cNvPr>
          <xdr:cNvGraphicFramePr>
            <a:graphicFrameLocks/>
          </xdr:cNvGraphicFramePr>
        </xdr:nvGraphicFramePr>
        <xdr:xfrm>
          <a:off x="6085113" y="5454195"/>
          <a:ext cx="3513364" cy="21875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62F6828-2E9D-41DE-9947-6843D1430B0A}"/>
              </a:ext>
            </a:extLst>
          </xdr:cNvPr>
          <xdr:cNvSpPr txBox="1"/>
        </xdr:nvSpPr>
        <xdr:spPr>
          <a:xfrm>
            <a:off x="6055178" y="4989285"/>
            <a:ext cx="3573235" cy="3578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bg1">
                    <a:lumMod val="95000"/>
                  </a:schemeClr>
                </a:solidFill>
              </a:rPr>
              <a:t>Mobile Phone</a:t>
            </a:r>
            <a:r>
              <a:rPr lang="en-US" sz="1400" b="1" baseline="0">
                <a:solidFill>
                  <a:schemeClr val="bg1">
                    <a:lumMod val="95000"/>
                  </a:schemeClr>
                </a:solidFill>
              </a:rPr>
              <a:t> Sales By Form</a:t>
            </a:r>
            <a:endParaRPr lang="en-US" sz="1400" b="1">
              <a:solidFill>
                <a:schemeClr val="bg1">
                  <a:lumMod val="95000"/>
                </a:schemeClr>
              </a:solidFill>
            </a:endParaRPr>
          </a:p>
        </xdr:txBody>
      </xdr:sp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3FC12612-6D3F-4F96-8AAC-164341E7DD5D}"/>
              </a:ext>
            </a:extLst>
          </xdr:cNvPr>
          <xdr:cNvGraphicFramePr>
            <a:graphicFrameLocks/>
          </xdr:cNvGraphicFramePr>
        </xdr:nvGraphicFramePr>
        <xdr:xfrm>
          <a:off x="9944069" y="5469112"/>
          <a:ext cx="3456668" cy="21422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9C9F4491-2761-4858-BBC1-233226587EFF}"/>
              </a:ext>
            </a:extLst>
          </xdr:cNvPr>
          <xdr:cNvSpPr txBox="1"/>
        </xdr:nvSpPr>
        <xdr:spPr>
          <a:xfrm>
            <a:off x="9775372" y="4994274"/>
            <a:ext cx="3573235" cy="3578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bg1">
                    <a:lumMod val="95000"/>
                  </a:schemeClr>
                </a:solidFill>
              </a:rPr>
              <a:t>Top 10 Mobile Phone</a:t>
            </a:r>
            <a:r>
              <a:rPr lang="en-US" sz="1400" b="1" baseline="0">
                <a:solidFill>
                  <a:schemeClr val="bg1">
                    <a:lumMod val="95000"/>
                  </a:schemeClr>
                </a:solidFill>
              </a:rPr>
              <a:t> Models by Sales</a:t>
            </a:r>
            <a:endParaRPr lang="en-US" sz="1400" b="1">
              <a:solidFill>
                <a:schemeClr val="bg1">
                  <a:lumMod val="95000"/>
                </a:schemeClr>
              </a:solidFill>
            </a:endParaRPr>
          </a:p>
        </xdr:txBody>
      </xdr: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BCF5EF6C-1E3F-43C2-877A-A33B9CBA98B2}"/>
              </a:ext>
            </a:extLst>
          </xdr:cNvPr>
          <xdr:cNvGraphicFramePr>
            <a:graphicFrameLocks/>
          </xdr:cNvGraphicFramePr>
        </xdr:nvGraphicFramePr>
        <xdr:xfrm>
          <a:off x="13639823" y="2408700"/>
          <a:ext cx="2914196" cy="22111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8E8FC00-DCCA-4FCF-B150-B6B205E7CFBB}"/>
              </a:ext>
            </a:extLst>
          </xdr:cNvPr>
          <xdr:cNvSpPr txBox="1"/>
        </xdr:nvSpPr>
        <xdr:spPr>
          <a:xfrm>
            <a:off x="13494090" y="1966686"/>
            <a:ext cx="3004910" cy="4989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bg1">
                    <a:lumMod val="95000"/>
                  </a:schemeClr>
                </a:solidFill>
              </a:rPr>
              <a:t> Mobile Phones</a:t>
            </a:r>
            <a:r>
              <a:rPr lang="en-US" sz="1400" b="1" baseline="0">
                <a:solidFill>
                  <a:schemeClr val="bg1">
                    <a:lumMod val="95000"/>
                  </a:schemeClr>
                </a:solidFill>
              </a:rPr>
              <a:t> Models by Company </a:t>
            </a:r>
            <a:endParaRPr lang="en-US" sz="1400" b="1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6BD82D55-E871-4D70-89C3-A350336FF9D1}"/>
              </a:ext>
            </a:extLst>
          </xdr:cNvPr>
          <xdr:cNvSpPr txBox="1"/>
        </xdr:nvSpPr>
        <xdr:spPr>
          <a:xfrm>
            <a:off x="6089196" y="610962"/>
            <a:ext cx="3673929" cy="318859"/>
          </a:xfrm>
          <a:prstGeom prst="rect">
            <a:avLst/>
          </a:prstGeom>
          <a:solidFill>
            <a:srgbClr val="619B84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>
                    <a:lumMod val="95000"/>
                  </a:schemeClr>
                </a:solidFill>
              </a:rPr>
              <a:t>Top Manufacturers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33F0D34C-3DEF-47D5-912A-E88E6E8A8288}"/>
              </a:ext>
            </a:extLst>
          </xdr:cNvPr>
          <xdr:cNvSpPr txBox="1"/>
        </xdr:nvSpPr>
        <xdr:spPr>
          <a:xfrm>
            <a:off x="6111874" y="941160"/>
            <a:ext cx="3617233" cy="8617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 b="1">
                <a:solidFill>
                  <a:srgbClr val="FF0000"/>
                </a:solidFill>
              </a:rPr>
              <a:t>Nokia</a:t>
            </a:r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 leads as the most successful manufacturer, with total unit sales reaching </a:t>
            </a:r>
            <a:r>
              <a:rPr lang="en-US" sz="1200" b="1">
                <a:solidFill>
                  <a:schemeClr val="accent2">
                    <a:lumMod val="40000"/>
                    <a:lumOff val="60000"/>
                  </a:schemeClr>
                </a:solidFill>
              </a:rPr>
              <a:t>2.38 billion</a:t>
            </a:r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. </a:t>
            </a:r>
            <a:r>
              <a:rPr lang="en-US" sz="1200" b="1">
                <a:solidFill>
                  <a:schemeClr val="tx2">
                    <a:lumMod val="50000"/>
                    <a:lumOff val="50000"/>
                  </a:schemeClr>
                </a:solidFill>
              </a:rPr>
              <a:t>Apple</a:t>
            </a:r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 follows with </a:t>
            </a:r>
            <a:r>
              <a:rPr lang="en-US" sz="1200" b="1">
                <a:solidFill>
                  <a:schemeClr val="accent2">
                    <a:lumMod val="40000"/>
                    <a:lumOff val="60000"/>
                  </a:schemeClr>
                </a:solidFill>
              </a:rPr>
              <a:t>1.67 billion </a:t>
            </a:r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units sold, while </a:t>
            </a:r>
            <a:r>
              <a:rPr lang="en-US" sz="1200" b="1">
                <a:solidFill>
                  <a:srgbClr val="FFFF00"/>
                </a:solidFill>
              </a:rPr>
              <a:t>Samsung</a:t>
            </a:r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 ranks third with </a:t>
            </a:r>
            <a:r>
              <a:rPr lang="en-US" sz="1200" b="1">
                <a:solidFill>
                  <a:schemeClr val="accent2">
                    <a:lumMod val="40000"/>
                    <a:lumOff val="60000"/>
                  </a:schemeClr>
                </a:solidFill>
              </a:rPr>
              <a:t>1.01 billion </a:t>
            </a:r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units.</a:t>
            </a:r>
            <a:endParaRPr lang="en-US" sz="1200" b="1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147AC48-2BA7-4A15-9988-4E844D51F6E7}"/>
              </a:ext>
            </a:extLst>
          </xdr:cNvPr>
          <xdr:cNvSpPr txBox="1"/>
        </xdr:nvSpPr>
        <xdr:spPr>
          <a:xfrm>
            <a:off x="9949542" y="615951"/>
            <a:ext cx="3532869" cy="318859"/>
          </a:xfrm>
          <a:prstGeom prst="rect">
            <a:avLst/>
          </a:prstGeom>
          <a:solidFill>
            <a:srgbClr val="619B84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>
                    <a:lumMod val="95000"/>
                  </a:schemeClr>
                </a:solidFill>
              </a:rPr>
              <a:t>Top Years for Mobile Phone Sales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F71C8A0-7369-4D3F-A09D-DA36956363DC}"/>
              </a:ext>
            </a:extLst>
          </xdr:cNvPr>
          <xdr:cNvSpPr txBox="1"/>
        </xdr:nvSpPr>
        <xdr:spPr>
          <a:xfrm>
            <a:off x="9972221" y="946149"/>
            <a:ext cx="3478350" cy="86178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The highest unit sales were recorded in </a:t>
            </a:r>
            <a:r>
              <a:rPr lang="en-US" sz="1200" b="1">
                <a:solidFill>
                  <a:srgbClr val="FF0000"/>
                </a:solidFill>
              </a:rPr>
              <a:t>2003</a:t>
            </a:r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, with </a:t>
            </a:r>
            <a:r>
              <a:rPr lang="en-US" sz="1200" b="1">
                <a:solidFill>
                  <a:schemeClr val="accent2">
                    <a:lumMod val="60000"/>
                    <a:lumOff val="40000"/>
                  </a:schemeClr>
                </a:solidFill>
              </a:rPr>
              <a:t>543 million units</a:t>
            </a:r>
            <a:r>
              <a:rPr lang="en-US" sz="1200">
                <a:solidFill>
                  <a:schemeClr val="accent2">
                    <a:lumMod val="60000"/>
                    <a:lumOff val="40000"/>
                  </a:schemeClr>
                </a:solidFill>
              </a:rPr>
              <a:t> </a:t>
            </a:r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sold. This was followed by </a:t>
            </a:r>
            <a:r>
              <a:rPr lang="en-US" sz="1200" b="1">
                <a:solidFill>
                  <a:schemeClr val="tx2">
                    <a:lumMod val="50000"/>
                    <a:lumOff val="50000"/>
                  </a:schemeClr>
                </a:solidFill>
              </a:rPr>
              <a:t>2005</a:t>
            </a:r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 with </a:t>
            </a:r>
            <a:r>
              <a:rPr lang="en-US" sz="1200" b="1">
                <a:solidFill>
                  <a:schemeClr val="accent2">
                    <a:lumMod val="60000"/>
                    <a:lumOff val="40000"/>
                  </a:schemeClr>
                </a:solidFill>
              </a:rPr>
              <a:t>497.5 million</a:t>
            </a:r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, and </a:t>
            </a:r>
            <a:r>
              <a:rPr lang="en-US" sz="1200" b="1">
                <a:solidFill>
                  <a:srgbClr val="FFFF00"/>
                </a:solidFill>
              </a:rPr>
              <a:t>2013</a:t>
            </a:r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 with </a:t>
            </a:r>
            <a:r>
              <a:rPr lang="en-US" sz="1200" b="1">
                <a:solidFill>
                  <a:schemeClr val="accent2">
                    <a:lumMod val="60000"/>
                    <a:lumOff val="40000"/>
                  </a:schemeClr>
                </a:solidFill>
              </a:rPr>
              <a:t>447.5 million</a:t>
            </a:r>
            <a:r>
              <a:rPr lang="en-US" sz="1200">
                <a:solidFill>
                  <a:schemeClr val="accent2">
                    <a:lumMod val="60000"/>
                    <a:lumOff val="40000"/>
                  </a:schemeClr>
                </a:solidFill>
              </a:rPr>
              <a:t> units</a:t>
            </a:r>
            <a:r>
              <a:rPr lang="en-US" sz="1200">
                <a:solidFill>
                  <a:schemeClr val="bg1">
                    <a:lumMod val="95000"/>
                  </a:schemeClr>
                </a:solidFill>
              </a:rPr>
              <a:t>..</a:t>
            </a:r>
            <a:endParaRPr lang="en-US" sz="1200" b="1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CB6DE26-5DDD-46C1-8F4D-BEA63C0A54B7}"/>
              </a:ext>
            </a:extLst>
          </xdr:cNvPr>
          <xdr:cNvSpPr txBox="1"/>
        </xdr:nvSpPr>
        <xdr:spPr>
          <a:xfrm>
            <a:off x="13607144" y="635000"/>
            <a:ext cx="3005939" cy="284793"/>
          </a:xfrm>
          <a:prstGeom prst="rect">
            <a:avLst/>
          </a:prstGeom>
          <a:solidFill>
            <a:srgbClr val="619B84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>
                <a:solidFill>
                  <a:schemeClr val="bg1">
                    <a:lumMod val="95000"/>
                  </a:schemeClr>
                </a:solidFill>
              </a:rPr>
              <a:t>Sales by Phone Type</a:t>
            </a: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F4620A05-7840-4E40-AD3A-87992B44C264}"/>
              </a:ext>
            </a:extLst>
          </xdr:cNvPr>
          <xdr:cNvSpPr txBox="1"/>
        </xdr:nvSpPr>
        <xdr:spPr>
          <a:xfrm>
            <a:off x="13629823" y="965198"/>
            <a:ext cx="2959552" cy="76971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050" b="1">
                <a:solidFill>
                  <a:srgbClr val="FF0000"/>
                </a:solidFill>
              </a:rPr>
              <a:t>Touchscreen</a:t>
            </a:r>
            <a:r>
              <a:rPr lang="en-US" sz="1050">
                <a:solidFill>
                  <a:schemeClr val="bg1">
                    <a:lumMod val="95000"/>
                  </a:schemeClr>
                </a:solidFill>
              </a:rPr>
              <a:t> phones lead the market with </a:t>
            </a:r>
            <a:r>
              <a:rPr lang="en-US" sz="1050" b="1">
                <a:solidFill>
                  <a:schemeClr val="accent2">
                    <a:lumMod val="60000"/>
                    <a:lumOff val="40000"/>
                  </a:schemeClr>
                </a:solidFill>
              </a:rPr>
              <a:t>2,948,800,000</a:t>
            </a:r>
            <a:r>
              <a:rPr lang="en-US" sz="1050" b="1">
                <a:solidFill>
                  <a:schemeClr val="bg1">
                    <a:lumMod val="95000"/>
                  </a:schemeClr>
                </a:solidFill>
              </a:rPr>
              <a:t> units sold</a:t>
            </a:r>
            <a:r>
              <a:rPr lang="en-US" sz="1050">
                <a:solidFill>
                  <a:schemeClr val="bg1">
                    <a:lumMod val="95000"/>
                  </a:schemeClr>
                </a:solidFill>
              </a:rPr>
              <a:t>, followed by </a:t>
            </a:r>
            <a:r>
              <a:rPr lang="en-US" sz="1050" b="1">
                <a:solidFill>
                  <a:schemeClr val="tx2">
                    <a:lumMod val="50000"/>
                    <a:lumOff val="50000"/>
                  </a:schemeClr>
                </a:solidFill>
              </a:rPr>
              <a:t>bar phones </a:t>
            </a:r>
            <a:r>
              <a:rPr lang="en-US" sz="1050">
                <a:solidFill>
                  <a:schemeClr val="bg1">
                    <a:lumMod val="95000"/>
                  </a:schemeClr>
                </a:solidFill>
              </a:rPr>
              <a:t>at </a:t>
            </a:r>
            <a:r>
              <a:rPr lang="en-US" sz="1050" b="1">
                <a:solidFill>
                  <a:schemeClr val="accent2">
                    <a:lumMod val="60000"/>
                    <a:lumOff val="40000"/>
                  </a:schemeClr>
                </a:solidFill>
              </a:rPr>
              <a:t>2,466,500,000</a:t>
            </a:r>
            <a:r>
              <a:rPr lang="en-US" sz="1050" b="1">
                <a:solidFill>
                  <a:schemeClr val="bg1">
                    <a:lumMod val="95000"/>
                  </a:schemeClr>
                </a:solidFill>
              </a:rPr>
              <a:t> units</a:t>
            </a:r>
            <a:r>
              <a:rPr lang="en-US" sz="1050">
                <a:solidFill>
                  <a:schemeClr val="bg1">
                    <a:lumMod val="95000"/>
                  </a:schemeClr>
                </a:solidFill>
              </a:rPr>
              <a:t>. </a:t>
            </a:r>
            <a:r>
              <a:rPr lang="en-US" sz="1050" b="1">
                <a:solidFill>
                  <a:srgbClr val="FFFF00"/>
                </a:solidFill>
              </a:rPr>
              <a:t>Flip phones </a:t>
            </a:r>
            <a:r>
              <a:rPr lang="en-US" sz="1050">
                <a:solidFill>
                  <a:schemeClr val="bg1">
                    <a:lumMod val="95000"/>
                  </a:schemeClr>
                </a:solidFill>
              </a:rPr>
              <a:t>trail behind with </a:t>
            </a:r>
            <a:r>
              <a:rPr lang="en-US" sz="1050" b="1">
                <a:solidFill>
                  <a:schemeClr val="accent2">
                    <a:lumMod val="60000"/>
                    <a:lumOff val="40000"/>
                  </a:schemeClr>
                </a:solidFill>
              </a:rPr>
              <a:t>235,000,000</a:t>
            </a:r>
            <a:r>
              <a:rPr lang="en-US" sz="1050" b="1">
                <a:solidFill>
                  <a:schemeClr val="bg1">
                    <a:lumMod val="95000"/>
                  </a:schemeClr>
                </a:solidFill>
              </a:rPr>
              <a:t> units sold</a:t>
            </a:r>
            <a:r>
              <a:rPr lang="en-US" sz="1050">
                <a:solidFill>
                  <a:schemeClr val="bg1">
                    <a:lumMod val="95000"/>
                  </a:schemeClr>
                </a:solidFill>
              </a:rPr>
              <a:t>.</a:t>
            </a:r>
            <a:endParaRPr lang="en-US" sz="1050" b="1">
              <a:solidFill>
                <a:schemeClr val="bg1">
                  <a:lumMod val="95000"/>
                </a:schemeClr>
              </a:solidFill>
            </a:endParaRPr>
          </a:p>
        </xdr:txBody>
      </xdr:sp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22" name="date">
                <a:extLst>
                  <a:ext uri="{FF2B5EF4-FFF2-40B4-BE49-F238E27FC236}">
                    <a16:creationId xmlns:a16="http://schemas.microsoft.com/office/drawing/2014/main" id="{1A29189D-5D72-84BB-71D0-2F22BC7D8385}"/>
                  </a:ext>
                </a:extLst>
              </xdr:cNvPr>
              <xdr:cNvGraphicFramePr/>
            </xdr:nvGraphicFramePr>
            <xdr:xfrm>
              <a:off x="13652701" y="5617860"/>
              <a:ext cx="2841129" cy="1753869"/>
            </xdr:xfrm>
            <a:graphic>
              <a:graphicData uri="http://schemas.microsoft.com/office/drawing/2012/timeslicer">
                <tsle:timeslicer name="da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3826290" y="5664868"/>
                <a:ext cx="2837932" cy="173304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Timeline: Works in Excel 2013 or higher. Do not move or resize.</a:t>
                </a:r>
              </a:p>
            </xdr:txBody>
          </xdr:sp>
        </mc:Fallback>
      </mc:AlternateContent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575D4545-D4F6-460B-93E6-F9FD259E211E}"/>
              </a:ext>
            </a:extLst>
          </xdr:cNvPr>
          <xdr:cNvSpPr txBox="1"/>
        </xdr:nvSpPr>
        <xdr:spPr>
          <a:xfrm>
            <a:off x="13295539" y="4931226"/>
            <a:ext cx="3573235" cy="5569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600" b="1">
                <a:solidFill>
                  <a:schemeClr val="bg1">
                    <a:lumMod val="95000"/>
                  </a:schemeClr>
                </a:solidFill>
              </a:rPr>
              <a:t>Select Year for Sales Overview</a:t>
            </a: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771.876057291665" createdVersion="8" refreshedVersion="8" minRefreshableVersion="3" recordCount="123" xr:uid="{02814091-98DD-4B2A-A9B6-F511EE2AB30A}">
  <cacheSource type="worksheet">
    <worksheetSource ref="A1:H124" sheet="MobilePhones"/>
  </cacheSource>
  <cacheFields count="8">
    <cacheField name="Manufacturer" numFmtId="0">
      <sharedItems count="14">
        <s v="Nokia"/>
        <s v="Apple"/>
        <s v="Samsung"/>
        <s v="Motorola"/>
        <s v="Huawei"/>
        <s v="LG"/>
        <s v="Xiaomi"/>
        <s v="HTC"/>
        <s v="Sony Ericsson"/>
        <s v="Research in Motion (RIM)"/>
        <s v="Oppo"/>
        <s v="LeTV"/>
        <s v="Google"/>
        <s v="Palm"/>
      </sharedItems>
    </cacheField>
    <cacheField name="Model" numFmtId="0">
      <sharedItems containsMixedTypes="1" containsNumber="1" containsInteger="1" minValue="1100" maxValue="6600" count="123">
        <n v="1100"/>
        <n v="1110"/>
        <s v="iPhone 6 and iPhone 6 Plus"/>
        <s v="105 series"/>
        <s v="iPhone 6S and iPhone 6S Plus"/>
        <s v="iPhone 5S"/>
        <n v="3210"/>
        <s v="iPhone 7 and iPhone 7 Plus"/>
        <s v="iPhone 11, iPhone 11 Pro and iPhone 11 Pro Max"/>
        <s v="iPhone XR, iPhone XS and iPhone XS Max"/>
        <n v="6600"/>
        <n v="1200"/>
        <n v="5230"/>
        <s v="E1100"/>
        <s v="iPhone 5"/>
        <s v="2600 (2610/2626/2630)"/>
        <s v="RAZR V3"/>
        <s v="1600 (1650/1661)"/>
        <s v="3310 (3330)"/>
        <s v="iPhone 8 and iPhone 8 Plus"/>
        <s v="Apple iPhone 12, iPhone 12 mini, iPhone 12 Pro and iPhone 12 Pro Max"/>
        <s v="1208 (1209)"/>
        <n v="1280"/>
        <s v="6010 (6020/6030)"/>
        <s v="Galaxy S III and Galaxy S III Mini"/>
        <s v="Galaxy S4"/>
        <s v="5130 (5220/5310)"/>
        <s v="iPhone X"/>
        <s v="iPhone 4S"/>
        <s v="StarTAC"/>
        <s v="C200"/>
        <s v="C139"/>
        <s v="Galaxy S7 and Galaxy S7 edge"/>
        <s v="3100 (3120)"/>
        <s v="6230 (6233/6234)"/>
        <s v="iPhone 4"/>
        <n v="6300"/>
        <s v="Galaxy S6 and Galaxy S6 edge"/>
        <s v="N70 (N72/N73)"/>
        <s v="Galaxy S8 and Galaxy S8+"/>
        <s v="Galaxy S II"/>
        <s v="Galaxy S10, Galaxy S10+ and Galaxy S10e"/>
        <s v="Galaxy S9 and Galaxy S9+"/>
        <n v="2650"/>
        <s v="iPhone 3GS"/>
        <s v="P20, P20 Pro and P20 Lite"/>
        <s v="Galaxy A10"/>
        <s v="E250"/>
        <s v="KP100"/>
        <s v="Galaxy Note II"/>
        <s v="5200 (5300)"/>
        <s v="Redmi Note 8 and Redmi Note 8 Pro"/>
        <s v="iPhone 12 Pro Max"/>
        <s v="Galaxy S20, Galaxy S20+ and Galaxy S20 Ultra"/>
        <s v="Galaxy S"/>
        <s v="Galaxy Grand Prime Plus"/>
        <s v="Galaxy A50"/>
        <s v="iPhone SE (2nd generation)"/>
        <s v="Galaxy A51"/>
        <s v="Galaxy A20"/>
        <s v="Chocolate VX8500"/>
        <n v="2100"/>
        <s v="Redmi Note 7 and Redmi Note 7 Pro"/>
        <s v="P30 and P30 Pro"/>
        <s v="Galaxy A21s"/>
        <s v="Galaxy A02"/>
        <s v="Mate 10 and Mate 10 Pro"/>
        <s v="Mate 20 and Mate 20 Pro"/>
        <s v="Galaxy A01"/>
        <s v="ThunderBolt"/>
        <s v="Mate 9"/>
        <s v="Galaxy A11"/>
        <s v="Galaxy J2 Core"/>
        <s v="5610 XpressMusic"/>
        <s v="5800 XpressMusic"/>
        <s v="E71 (E72)"/>
        <s v="K300 (K310)"/>
        <s v="K750"/>
        <s v="W800 (W810)"/>
        <s v="BlackBerry Pearl"/>
        <s v="Redmi Note 9 Pro"/>
        <s v="Galaxy S21, Galaxy S21+ and Galaxy S21 Ultra"/>
        <s v="Droid Bionic"/>
        <s v="Cookie (KP500)"/>
        <s v="Mate 30 and Mate 30 Pro"/>
        <s v="Galaxy S22 Ultra"/>
        <s v="SGH-E700"/>
        <s v="N95"/>
        <s v="Shine"/>
        <s v="Star/Tocco Lite (S5230)"/>
        <s v="Galaxy Note"/>
        <s v="Mi 2"/>
        <s v="Galaxy Note 3"/>
        <s v="G3"/>
        <s v="Galaxy Note 8"/>
        <s v="Redmi 6A"/>
        <s v="Galaxy S20 FE"/>
        <s v="A5 (AX5)"/>
        <s v="Galaxy Note 9"/>
        <s v="Galaxy A30"/>
        <s v="Redmi 8A"/>
        <s v="F1 Plus"/>
        <s v="Redmi 8"/>
        <s v="Galaxy J4+"/>
        <s v="iPhone"/>
        <s v="Viewty (KU990)"/>
        <s v="Galaxy J6+"/>
        <s v="Samsung Galaxy S24 Ultra"/>
        <s v="Samsung Galaxy Note 4"/>
        <s v="Samsung Galaxy A14 4G"/>
        <s v="Galaxy A10s"/>
        <s v="Samsung Galaxy S23 FE"/>
        <s v="Galaxy A30s"/>
        <s v="N-Gage"/>
        <s v="G2"/>
        <s v="LeEco Le 1s"/>
        <s v="Samsung Galaxy A55"/>
        <s v="Samsung Galaxy S24"/>
        <s v="Samsung Galaxy A15 4G"/>
        <s v="Pixel and Pixel XL"/>
        <s v="Centro"/>
        <s v="N97"/>
        <s v="Samsung Galaxy A05s"/>
      </sharedItems>
    </cacheField>
    <cacheField name="Form factor" numFmtId="0">
      <sharedItems count="7">
        <s v="Bar"/>
        <s v="Touchscreen"/>
        <s v="Flip phone"/>
        <s v="Slider"/>
        <s v="Keyboard bar"/>
        <s v="Taco"/>
        <s v="Tilt slider"/>
      </sharedItems>
    </cacheField>
    <cacheField name="Smartphone?" numFmtId="0">
      <sharedItems count="2">
        <s v="No"/>
        <s v="Yes"/>
      </sharedItems>
    </cacheField>
    <cacheField name="Year Released" numFmtId="0">
      <sharedItems containsSemiMixedTypes="0" containsString="0" containsNumber="1" containsInteger="1" minValue="1996" maxValue="2024" count="25">
        <n v="2003"/>
        <n v="2005"/>
        <n v="2014"/>
        <n v="2013"/>
        <n v="2015"/>
        <n v="1999"/>
        <n v="2016"/>
        <n v="2019"/>
        <n v="2018"/>
        <n v="2007"/>
        <n v="2009"/>
        <n v="2012"/>
        <n v="2004"/>
        <n v="2000"/>
        <n v="2017"/>
        <n v="2020"/>
        <n v="2010"/>
        <n v="2011"/>
        <n v="1996"/>
        <n v="2006"/>
        <n v="2008"/>
        <n v="2021"/>
        <n v="2022"/>
        <n v="2024"/>
        <n v="2023"/>
      </sharedItems>
    </cacheField>
    <cacheField name="date" numFmtId="14">
      <sharedItems containsSemiMixedTypes="0" containsNonDate="0" containsDate="1" containsString="0" minDate="1996-01-01T00:00:00" maxDate="2024-01-02T00:00:00" count="25">
        <d v="2003-01-01T00:00:00"/>
        <d v="2005-01-01T00:00:00"/>
        <d v="2014-01-01T00:00:00"/>
        <d v="2013-01-01T00:00:00"/>
        <d v="2015-01-01T00:00:00"/>
        <d v="1999-01-01T00:00:00"/>
        <d v="2016-01-01T00:00:00"/>
        <d v="2019-01-01T00:00:00"/>
        <d v="2018-01-01T00:00:00"/>
        <d v="2007-01-01T00:00:00"/>
        <d v="2009-01-01T00:00:00"/>
        <d v="2012-01-01T00:00:00"/>
        <d v="2004-01-01T00:00:00"/>
        <d v="2000-01-01T00:00:00"/>
        <d v="2017-01-01T00:00:00"/>
        <d v="2020-01-01T00:00:00"/>
        <d v="2010-01-01T00:00:00"/>
        <d v="2011-01-01T00:00:00"/>
        <d v="1996-01-01T00:00:00"/>
        <d v="2006-01-01T00:00:00"/>
        <d v="2008-01-01T00:00:00"/>
        <d v="2021-01-01T00:00:00"/>
        <d v="2022-01-01T00:00:00"/>
        <d v="2024-01-01T00:00:00"/>
        <d v="2023-01-01T00:00:00"/>
      </sharedItems>
    </cacheField>
    <cacheField name="Graph (million units)" numFmtId="0">
      <sharedItems containsMixedTypes="1" containsNumber="1" minValue="2" maxValue="18.3"/>
    </cacheField>
    <cacheField name="Units Sold" numFmtId="0">
      <sharedItems containsSemiMixedTypes="0" containsString="0" containsNumber="1" minValue="2" maxValue="250"/>
    </cacheField>
  </cacheFields>
  <extLst>
    <ext xmlns:x14="http://schemas.microsoft.com/office/spreadsheetml/2009/9/main" uri="{725AE2AE-9491-48be-B2B4-4EB974FC3084}">
      <x14:pivotCacheDefinition pivotCacheId="11047979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x v="0"/>
    <x v="0"/>
    <x v="0"/>
    <x v="0"/>
    <x v="0"/>
    <x v="0"/>
    <s v="250[4][1][5]"/>
    <n v="250"/>
  </r>
  <r>
    <x v="0"/>
    <x v="1"/>
    <x v="0"/>
    <x v="0"/>
    <x v="1"/>
    <x v="1"/>
    <s v="247.5[4][1][6]"/>
    <n v="247.5"/>
  </r>
  <r>
    <x v="1"/>
    <x v="2"/>
    <x v="1"/>
    <x v="1"/>
    <x v="2"/>
    <x v="2"/>
    <s v="222.4[7]"/>
    <n v="222.4"/>
  </r>
  <r>
    <x v="0"/>
    <x v="3"/>
    <x v="0"/>
    <x v="0"/>
    <x v="3"/>
    <x v="3"/>
    <s v="200[8]"/>
    <n v="200"/>
  </r>
  <r>
    <x v="1"/>
    <x v="4"/>
    <x v="1"/>
    <x v="1"/>
    <x v="4"/>
    <x v="4"/>
    <s v="174.1[9][10][11][12]"/>
    <n v="174.1"/>
  </r>
  <r>
    <x v="1"/>
    <x v="5"/>
    <x v="1"/>
    <x v="1"/>
    <x v="3"/>
    <x v="3"/>
    <s v="164.5[7]"/>
    <n v="164.5"/>
  </r>
  <r>
    <x v="0"/>
    <x v="6"/>
    <x v="0"/>
    <x v="0"/>
    <x v="5"/>
    <x v="5"/>
    <s v="161[1][6][13]"/>
    <n v="161"/>
  </r>
  <r>
    <x v="1"/>
    <x v="7"/>
    <x v="1"/>
    <x v="1"/>
    <x v="6"/>
    <x v="6"/>
    <s v="159.9[11][14][15][16][17]"/>
    <n v="159.9"/>
  </r>
  <r>
    <x v="1"/>
    <x v="8"/>
    <x v="1"/>
    <x v="1"/>
    <x v="7"/>
    <x v="7"/>
    <s v="159.2[18][19][20]"/>
    <n v="159.19999999999999"/>
  </r>
  <r>
    <x v="1"/>
    <x v="9"/>
    <x v="1"/>
    <x v="1"/>
    <x v="8"/>
    <x v="8"/>
    <s v="151.1[21][19]"/>
    <n v="151.1"/>
  </r>
  <r>
    <x v="0"/>
    <x v="10"/>
    <x v="0"/>
    <x v="1"/>
    <x v="0"/>
    <x v="0"/>
    <s v="150[4][1]"/>
    <n v="150"/>
  </r>
  <r>
    <x v="0"/>
    <x v="11"/>
    <x v="0"/>
    <x v="0"/>
    <x v="9"/>
    <x v="9"/>
    <s v="150[4][1][6]"/>
    <n v="150"/>
  </r>
  <r>
    <x v="0"/>
    <x v="12"/>
    <x v="1"/>
    <x v="1"/>
    <x v="10"/>
    <x v="10"/>
    <s v="150[4][1][6]"/>
    <n v="150"/>
  </r>
  <r>
    <x v="2"/>
    <x v="13"/>
    <x v="0"/>
    <x v="0"/>
    <x v="10"/>
    <x v="10"/>
    <s v="150[4]"/>
    <n v="150"/>
  </r>
  <r>
    <x v="1"/>
    <x v="14"/>
    <x v="1"/>
    <x v="1"/>
    <x v="11"/>
    <x v="11"/>
    <s v="146.2[7]"/>
    <n v="146.19999999999999"/>
  </r>
  <r>
    <x v="0"/>
    <x v="15"/>
    <x v="0"/>
    <x v="0"/>
    <x v="12"/>
    <x v="12"/>
    <s v="135[4][1][6][5]"/>
    <n v="135"/>
  </r>
  <r>
    <x v="3"/>
    <x v="16"/>
    <x v="2"/>
    <x v="0"/>
    <x v="12"/>
    <x v="12"/>
    <s v="130[4][6]"/>
    <n v="130"/>
  </r>
  <r>
    <x v="0"/>
    <x v="17"/>
    <x v="0"/>
    <x v="0"/>
    <x v="1"/>
    <x v="1"/>
    <s v="130[4][1][6][5]"/>
    <n v="130"/>
  </r>
  <r>
    <x v="0"/>
    <x v="18"/>
    <x v="0"/>
    <x v="0"/>
    <x v="13"/>
    <x v="13"/>
    <s v="126[4][1][6][22]"/>
    <n v="126"/>
  </r>
  <r>
    <x v="1"/>
    <x v="19"/>
    <x v="1"/>
    <x v="1"/>
    <x v="14"/>
    <x v="14"/>
    <s v="124.7[23][19][16][24][25]"/>
    <n v="124.7"/>
  </r>
  <r>
    <x v="1"/>
    <x v="20"/>
    <x v="1"/>
    <x v="1"/>
    <x v="15"/>
    <x v="15"/>
    <s v="100[18]"/>
    <n v="100"/>
  </r>
  <r>
    <x v="0"/>
    <x v="21"/>
    <x v="0"/>
    <x v="0"/>
    <x v="9"/>
    <x v="9"/>
    <s v="100[4][1][6]"/>
    <n v="100"/>
  </r>
  <r>
    <x v="0"/>
    <x v="22"/>
    <x v="0"/>
    <x v="0"/>
    <x v="16"/>
    <x v="16"/>
    <s v="100[26]"/>
    <n v="100"/>
  </r>
  <r>
    <x v="0"/>
    <x v="23"/>
    <x v="0"/>
    <x v="0"/>
    <x v="12"/>
    <x v="12"/>
    <s v="75[4][6][5]"/>
    <n v="75"/>
  </r>
  <r>
    <x v="2"/>
    <x v="24"/>
    <x v="1"/>
    <x v="1"/>
    <x v="11"/>
    <x v="11"/>
    <s v="70[27]"/>
    <n v="70"/>
  </r>
  <r>
    <x v="2"/>
    <x v="25"/>
    <x v="1"/>
    <x v="1"/>
    <x v="3"/>
    <x v="3"/>
    <s v="70[28]"/>
    <n v="70"/>
  </r>
  <r>
    <x v="0"/>
    <x v="26"/>
    <x v="0"/>
    <x v="0"/>
    <x v="9"/>
    <x v="9"/>
    <s v="65[4][6]"/>
    <n v="65"/>
  </r>
  <r>
    <x v="1"/>
    <x v="27"/>
    <x v="1"/>
    <x v="1"/>
    <x v="14"/>
    <x v="14"/>
    <s v="63[29]"/>
    <n v="63"/>
  </r>
  <r>
    <x v="1"/>
    <x v="28"/>
    <x v="1"/>
    <x v="1"/>
    <x v="17"/>
    <x v="17"/>
    <s v="60[4][6][30]"/>
    <n v="60"/>
  </r>
  <r>
    <x v="3"/>
    <x v="29"/>
    <x v="2"/>
    <x v="0"/>
    <x v="18"/>
    <x v="18"/>
    <s v="60[4][6]"/>
    <n v="60"/>
  </r>
  <r>
    <x v="3"/>
    <x v="30"/>
    <x v="0"/>
    <x v="0"/>
    <x v="0"/>
    <x v="0"/>
    <s v="60[6]"/>
    <n v="60"/>
  </r>
  <r>
    <x v="3"/>
    <x v="31"/>
    <x v="0"/>
    <x v="0"/>
    <x v="1"/>
    <x v="1"/>
    <s v="60[30]"/>
    <n v="60"/>
  </r>
  <r>
    <x v="2"/>
    <x v="32"/>
    <x v="1"/>
    <x v="1"/>
    <x v="6"/>
    <x v="6"/>
    <s v="55[31]"/>
    <n v="55"/>
  </r>
  <r>
    <x v="0"/>
    <x v="33"/>
    <x v="0"/>
    <x v="0"/>
    <x v="0"/>
    <x v="0"/>
    <s v="50[6]"/>
    <n v="50"/>
  </r>
  <r>
    <x v="0"/>
    <x v="34"/>
    <x v="0"/>
    <x v="0"/>
    <x v="12"/>
    <x v="12"/>
    <s v="50[6]"/>
    <n v="50"/>
  </r>
  <r>
    <x v="1"/>
    <x v="35"/>
    <x v="1"/>
    <x v="1"/>
    <x v="16"/>
    <x v="16"/>
    <s v="50[30]"/>
    <n v="50"/>
  </r>
  <r>
    <x v="0"/>
    <x v="36"/>
    <x v="0"/>
    <x v="0"/>
    <x v="19"/>
    <x v="19"/>
    <s v="47[32]"/>
    <n v="47"/>
  </r>
  <r>
    <x v="2"/>
    <x v="37"/>
    <x v="1"/>
    <x v="1"/>
    <x v="4"/>
    <x v="4"/>
    <s v="45[33]"/>
    <n v="45"/>
  </r>
  <r>
    <x v="0"/>
    <x v="38"/>
    <x v="0"/>
    <x v="1"/>
    <x v="1"/>
    <x v="1"/>
    <s v="45[30][5]"/>
    <n v="45"/>
  </r>
  <r>
    <x v="2"/>
    <x v="39"/>
    <x v="1"/>
    <x v="1"/>
    <x v="14"/>
    <x v="14"/>
    <s v="41[34]"/>
    <n v="41"/>
  </r>
  <r>
    <x v="2"/>
    <x v="40"/>
    <x v="1"/>
    <x v="1"/>
    <x v="17"/>
    <x v="17"/>
    <s v="40[6]"/>
    <n v="40"/>
  </r>
  <r>
    <x v="2"/>
    <x v="41"/>
    <x v="1"/>
    <x v="1"/>
    <x v="7"/>
    <x v="7"/>
    <s v="37[35]"/>
    <n v="37"/>
  </r>
  <r>
    <x v="2"/>
    <x v="42"/>
    <x v="1"/>
    <x v="1"/>
    <x v="8"/>
    <x v="8"/>
    <s v="35.4[19]"/>
    <n v="35.4"/>
  </r>
  <r>
    <x v="0"/>
    <x v="43"/>
    <x v="2"/>
    <x v="0"/>
    <x v="12"/>
    <x v="12"/>
    <s v="35[6]"/>
    <n v="35"/>
  </r>
  <r>
    <x v="1"/>
    <x v="44"/>
    <x v="1"/>
    <x v="1"/>
    <x v="10"/>
    <x v="10"/>
    <s v="35[6]"/>
    <n v="35"/>
  </r>
  <r>
    <x v="4"/>
    <x v="45"/>
    <x v="1"/>
    <x v="1"/>
    <x v="8"/>
    <x v="8"/>
    <s v="32[36][19]"/>
    <n v="32"/>
  </r>
  <r>
    <x v="2"/>
    <x v="46"/>
    <x v="1"/>
    <x v="1"/>
    <x v="7"/>
    <x v="7"/>
    <s v="30.3[19]"/>
    <n v="30.3"/>
  </r>
  <r>
    <x v="2"/>
    <x v="47"/>
    <x v="3"/>
    <x v="0"/>
    <x v="19"/>
    <x v="19"/>
    <s v="30[30]"/>
    <n v="30"/>
  </r>
  <r>
    <x v="5"/>
    <x v="48"/>
    <x v="0"/>
    <x v="0"/>
    <x v="20"/>
    <x v="20"/>
    <s v="30[37]"/>
    <n v="30"/>
  </r>
  <r>
    <x v="2"/>
    <x v="49"/>
    <x v="1"/>
    <x v="1"/>
    <x v="11"/>
    <x v="11"/>
    <s v="30[38]"/>
    <n v="30"/>
  </r>
  <r>
    <x v="0"/>
    <x v="50"/>
    <x v="3"/>
    <x v="0"/>
    <x v="19"/>
    <x v="19"/>
    <s v="30[5]"/>
    <n v="30"/>
  </r>
  <r>
    <x v="6"/>
    <x v="51"/>
    <x v="1"/>
    <x v="1"/>
    <x v="7"/>
    <x v="7"/>
    <s v="30[39]"/>
    <n v="30"/>
  </r>
  <r>
    <x v="1"/>
    <x v="52"/>
    <x v="1"/>
    <x v="1"/>
    <x v="15"/>
    <x v="15"/>
    <s v="29[18]"/>
    <n v="29"/>
  </r>
  <r>
    <x v="2"/>
    <x v="53"/>
    <x v="1"/>
    <x v="1"/>
    <x v="15"/>
    <x v="15"/>
    <s v="28[40]"/>
    <n v="28"/>
  </r>
  <r>
    <x v="2"/>
    <x v="54"/>
    <x v="1"/>
    <x v="1"/>
    <x v="16"/>
    <x v="16"/>
    <s v="25[41]"/>
    <n v="25"/>
  </r>
  <r>
    <x v="2"/>
    <x v="55"/>
    <x v="1"/>
    <x v="1"/>
    <x v="6"/>
    <x v="6"/>
    <s v="24.2[19]"/>
    <n v="24.2"/>
  </r>
  <r>
    <x v="2"/>
    <x v="56"/>
    <x v="1"/>
    <x v="1"/>
    <x v="7"/>
    <x v="7"/>
    <s v="24.2[19]"/>
    <n v="24.2"/>
  </r>
  <r>
    <x v="1"/>
    <x v="57"/>
    <x v="1"/>
    <x v="1"/>
    <x v="15"/>
    <x v="15"/>
    <s v="24.2[42]"/>
    <n v="24.2"/>
  </r>
  <r>
    <x v="2"/>
    <x v="58"/>
    <x v="1"/>
    <x v="1"/>
    <x v="7"/>
    <x v="7"/>
    <s v="23.2[42]"/>
    <n v="23.2"/>
  </r>
  <r>
    <x v="2"/>
    <x v="59"/>
    <x v="1"/>
    <x v="1"/>
    <x v="7"/>
    <x v="7"/>
    <s v="23.1[19]"/>
    <n v="23.1"/>
  </r>
  <r>
    <x v="5"/>
    <x v="60"/>
    <x v="3"/>
    <x v="0"/>
    <x v="19"/>
    <x v="19"/>
    <s v="21[43][44][45][46]"/>
    <n v="21"/>
  </r>
  <r>
    <x v="0"/>
    <x v="61"/>
    <x v="0"/>
    <x v="0"/>
    <x v="0"/>
    <x v="0"/>
    <s v="20[47][13]"/>
    <n v="20"/>
  </r>
  <r>
    <x v="6"/>
    <x v="62"/>
    <x v="1"/>
    <x v="1"/>
    <x v="7"/>
    <x v="7"/>
    <s v="20[48]"/>
    <n v="20"/>
  </r>
  <r>
    <x v="4"/>
    <x v="63"/>
    <x v="1"/>
    <x v="1"/>
    <x v="7"/>
    <x v="7"/>
    <s v="20[49]"/>
    <n v="20"/>
  </r>
  <r>
    <x v="2"/>
    <x v="64"/>
    <x v="1"/>
    <x v="1"/>
    <x v="15"/>
    <x v="15"/>
    <s v="19.4[42]"/>
    <n v="19.399999999999999"/>
  </r>
  <r>
    <x v="2"/>
    <x v="65"/>
    <x v="1"/>
    <x v="1"/>
    <x v="21"/>
    <x v="21"/>
    <n v="18.3"/>
    <n v="18.3"/>
  </r>
  <r>
    <x v="4"/>
    <x v="66"/>
    <x v="1"/>
    <x v="1"/>
    <x v="14"/>
    <x v="14"/>
    <s v="17[50]"/>
    <n v="17"/>
  </r>
  <r>
    <x v="4"/>
    <x v="67"/>
    <x v="1"/>
    <x v="1"/>
    <x v="8"/>
    <x v="8"/>
    <s v="17[49]"/>
    <n v="17"/>
  </r>
  <r>
    <x v="2"/>
    <x v="68"/>
    <x v="1"/>
    <x v="1"/>
    <x v="7"/>
    <x v="7"/>
    <s v="16.9[42]"/>
    <n v="16.899999999999999"/>
  </r>
  <r>
    <x v="7"/>
    <x v="69"/>
    <x v="1"/>
    <x v="1"/>
    <x v="17"/>
    <x v="17"/>
    <s v="16[30]"/>
    <n v="16"/>
  </r>
  <r>
    <x v="4"/>
    <x v="70"/>
    <x v="1"/>
    <x v="1"/>
    <x v="6"/>
    <x v="6"/>
    <s v="15.8[50]"/>
    <n v="15.8"/>
  </r>
  <r>
    <x v="2"/>
    <x v="71"/>
    <x v="1"/>
    <x v="1"/>
    <x v="15"/>
    <x v="15"/>
    <s v="15.3[42]"/>
    <n v="15.3"/>
  </r>
  <r>
    <x v="2"/>
    <x v="72"/>
    <x v="1"/>
    <x v="1"/>
    <x v="8"/>
    <x v="8"/>
    <s v="15.2[19]"/>
    <n v="15.2"/>
  </r>
  <r>
    <x v="0"/>
    <x v="73"/>
    <x v="3"/>
    <x v="0"/>
    <x v="9"/>
    <x v="9"/>
    <s v="15[5]"/>
    <n v="15"/>
  </r>
  <r>
    <x v="0"/>
    <x v="74"/>
    <x v="1"/>
    <x v="1"/>
    <x v="20"/>
    <x v="20"/>
    <s v="15[5]"/>
    <n v="15"/>
  </r>
  <r>
    <x v="0"/>
    <x v="75"/>
    <x v="4"/>
    <x v="1"/>
    <x v="20"/>
    <x v="20"/>
    <s v="15[5]"/>
    <n v="15"/>
  </r>
  <r>
    <x v="8"/>
    <x v="76"/>
    <x v="0"/>
    <x v="0"/>
    <x v="12"/>
    <x v="12"/>
    <s v="15[30][51]"/>
    <n v="15"/>
  </r>
  <r>
    <x v="8"/>
    <x v="77"/>
    <x v="0"/>
    <x v="0"/>
    <x v="1"/>
    <x v="1"/>
    <s v="15[30]"/>
    <n v="15"/>
  </r>
  <r>
    <x v="8"/>
    <x v="78"/>
    <x v="0"/>
    <x v="0"/>
    <x v="19"/>
    <x v="19"/>
    <s v="15[30][51]"/>
    <n v="15"/>
  </r>
  <r>
    <x v="9"/>
    <x v="79"/>
    <x v="0"/>
    <x v="1"/>
    <x v="19"/>
    <x v="19"/>
    <s v="15[30]"/>
    <n v="15"/>
  </r>
  <r>
    <x v="6"/>
    <x v="80"/>
    <x v="1"/>
    <x v="1"/>
    <x v="15"/>
    <x v="15"/>
    <s v="15[42]"/>
    <n v="15"/>
  </r>
  <r>
    <x v="2"/>
    <x v="81"/>
    <x v="1"/>
    <x v="1"/>
    <x v="21"/>
    <x v="21"/>
    <s v="13.5[40]"/>
    <n v="13.5"/>
  </r>
  <r>
    <x v="3"/>
    <x v="82"/>
    <x v="1"/>
    <x v="1"/>
    <x v="17"/>
    <x v="17"/>
    <s v="13[30]"/>
    <n v="13"/>
  </r>
  <r>
    <x v="5"/>
    <x v="83"/>
    <x v="1"/>
    <x v="0"/>
    <x v="10"/>
    <x v="10"/>
    <s v="13[52][53]"/>
    <n v="13"/>
  </r>
  <r>
    <x v="4"/>
    <x v="84"/>
    <x v="1"/>
    <x v="1"/>
    <x v="7"/>
    <x v="7"/>
    <s v="12[54]"/>
    <n v="12"/>
  </r>
  <r>
    <x v="2"/>
    <x v="85"/>
    <x v="1"/>
    <x v="1"/>
    <x v="22"/>
    <x v="22"/>
    <s v="10.9[55][56]"/>
    <n v="10.9"/>
  </r>
  <r>
    <x v="2"/>
    <x v="86"/>
    <x v="2"/>
    <x v="0"/>
    <x v="0"/>
    <x v="0"/>
    <s v="10[57]"/>
    <n v="10"/>
  </r>
  <r>
    <x v="0"/>
    <x v="87"/>
    <x v="3"/>
    <x v="1"/>
    <x v="9"/>
    <x v="9"/>
    <s v="10[58]"/>
    <n v="10"/>
  </r>
  <r>
    <x v="5"/>
    <x v="88"/>
    <x v="3"/>
    <x v="0"/>
    <x v="20"/>
    <x v="20"/>
    <s v="10[59]"/>
    <n v="10"/>
  </r>
  <r>
    <x v="2"/>
    <x v="89"/>
    <x v="1"/>
    <x v="0"/>
    <x v="10"/>
    <x v="10"/>
    <s v="10[60]"/>
    <n v="10"/>
  </r>
  <r>
    <x v="2"/>
    <x v="90"/>
    <x v="1"/>
    <x v="1"/>
    <x v="17"/>
    <x v="17"/>
    <s v="10[61][62]"/>
    <n v="10"/>
  </r>
  <r>
    <x v="6"/>
    <x v="91"/>
    <x v="1"/>
    <x v="1"/>
    <x v="11"/>
    <x v="11"/>
    <s v="10[63]"/>
    <n v="10"/>
  </r>
  <r>
    <x v="2"/>
    <x v="92"/>
    <x v="1"/>
    <x v="1"/>
    <x v="3"/>
    <x v="3"/>
    <s v="10[64]"/>
    <n v="10"/>
  </r>
  <r>
    <x v="5"/>
    <x v="93"/>
    <x v="1"/>
    <x v="1"/>
    <x v="2"/>
    <x v="2"/>
    <s v="10[65][66][67]"/>
    <n v="10"/>
  </r>
  <r>
    <x v="2"/>
    <x v="94"/>
    <x v="1"/>
    <x v="1"/>
    <x v="14"/>
    <x v="14"/>
    <s v="10[68]"/>
    <n v="10"/>
  </r>
  <r>
    <x v="6"/>
    <x v="95"/>
    <x v="1"/>
    <x v="1"/>
    <x v="7"/>
    <x v="7"/>
    <s v="10[69]"/>
    <n v="10"/>
  </r>
  <r>
    <x v="2"/>
    <x v="96"/>
    <x v="1"/>
    <x v="1"/>
    <x v="15"/>
    <x v="15"/>
    <s v="10[70][71]"/>
    <n v="10"/>
  </r>
  <r>
    <x v="10"/>
    <x v="97"/>
    <x v="1"/>
    <x v="1"/>
    <x v="8"/>
    <x v="8"/>
    <s v="9.7[69]"/>
    <n v="9.6999999999999993"/>
  </r>
  <r>
    <x v="2"/>
    <x v="98"/>
    <x v="1"/>
    <x v="1"/>
    <x v="8"/>
    <x v="8"/>
    <s v="9.6[68]"/>
    <n v="9.6"/>
  </r>
  <r>
    <x v="2"/>
    <x v="99"/>
    <x v="1"/>
    <x v="1"/>
    <x v="7"/>
    <x v="7"/>
    <s v="9.2[69]"/>
    <n v="9.1999999999999993"/>
  </r>
  <r>
    <x v="6"/>
    <x v="100"/>
    <x v="1"/>
    <x v="1"/>
    <x v="7"/>
    <x v="7"/>
    <s v="7.3[20]"/>
    <n v="7.3"/>
  </r>
  <r>
    <x v="10"/>
    <x v="101"/>
    <x v="1"/>
    <x v="1"/>
    <x v="6"/>
    <x v="6"/>
    <s v="7[72]"/>
    <n v="7"/>
  </r>
  <r>
    <x v="6"/>
    <x v="102"/>
    <x v="1"/>
    <x v="1"/>
    <x v="7"/>
    <x v="7"/>
    <s v="6.8[20]"/>
    <n v="6.8"/>
  </r>
  <r>
    <x v="2"/>
    <x v="103"/>
    <x v="1"/>
    <x v="1"/>
    <x v="8"/>
    <x v="8"/>
    <s v="6.4[73]"/>
    <n v="6.4"/>
  </r>
  <r>
    <x v="1"/>
    <x v="104"/>
    <x v="1"/>
    <x v="1"/>
    <x v="9"/>
    <x v="9"/>
    <s v="6[74]"/>
    <n v="6"/>
  </r>
  <r>
    <x v="5"/>
    <x v="105"/>
    <x v="0"/>
    <x v="0"/>
    <x v="9"/>
    <x v="9"/>
    <s v="5[75]"/>
    <n v="5"/>
  </r>
  <r>
    <x v="2"/>
    <x v="106"/>
    <x v="1"/>
    <x v="1"/>
    <x v="8"/>
    <x v="8"/>
    <s v="4.9[73]"/>
    <n v="4.9000000000000004"/>
  </r>
  <r>
    <x v="2"/>
    <x v="107"/>
    <x v="1"/>
    <x v="1"/>
    <x v="23"/>
    <x v="23"/>
    <n v="4.9000000000000004"/>
    <n v="4.9000000000000004"/>
  </r>
  <r>
    <x v="2"/>
    <x v="108"/>
    <x v="1"/>
    <x v="1"/>
    <x v="2"/>
    <x v="2"/>
    <s v="4.5[76]"/>
    <n v="4.5"/>
  </r>
  <r>
    <x v="2"/>
    <x v="109"/>
    <x v="1"/>
    <x v="1"/>
    <x v="24"/>
    <x v="24"/>
    <n v="4"/>
    <n v="4"/>
  </r>
  <r>
    <x v="2"/>
    <x v="110"/>
    <x v="1"/>
    <x v="1"/>
    <x v="7"/>
    <x v="7"/>
    <s v="3.9[73]"/>
    <n v="3.9"/>
  </r>
  <r>
    <x v="2"/>
    <x v="111"/>
    <x v="1"/>
    <x v="1"/>
    <x v="24"/>
    <x v="24"/>
    <n v="3.8"/>
    <n v="3.8"/>
  </r>
  <r>
    <x v="2"/>
    <x v="112"/>
    <x v="1"/>
    <x v="1"/>
    <x v="7"/>
    <x v="7"/>
    <s v="3.4[73]"/>
    <n v="3.4"/>
  </r>
  <r>
    <x v="0"/>
    <x v="113"/>
    <x v="5"/>
    <x v="1"/>
    <x v="0"/>
    <x v="0"/>
    <s v="3[5]"/>
    <n v="3"/>
  </r>
  <r>
    <x v="5"/>
    <x v="114"/>
    <x v="1"/>
    <x v="1"/>
    <x v="3"/>
    <x v="3"/>
    <s v="3[77][78]"/>
    <n v="3"/>
  </r>
  <r>
    <x v="11"/>
    <x v="115"/>
    <x v="1"/>
    <x v="1"/>
    <x v="6"/>
    <x v="6"/>
    <s v="3[79][80]"/>
    <n v="3"/>
  </r>
  <r>
    <x v="2"/>
    <x v="116"/>
    <x v="1"/>
    <x v="1"/>
    <x v="23"/>
    <x v="23"/>
    <n v="2.7"/>
    <n v="2.7"/>
  </r>
  <r>
    <x v="2"/>
    <x v="117"/>
    <x v="1"/>
    <x v="1"/>
    <x v="23"/>
    <x v="23"/>
    <n v="2.4"/>
    <n v="2.4"/>
  </r>
  <r>
    <x v="2"/>
    <x v="118"/>
    <x v="1"/>
    <x v="1"/>
    <x v="24"/>
    <x v="24"/>
    <n v="2.2000000000000002"/>
    <n v="2.2000000000000002"/>
  </r>
  <r>
    <x v="12"/>
    <x v="119"/>
    <x v="1"/>
    <x v="1"/>
    <x v="6"/>
    <x v="6"/>
    <s v="2.1[81]"/>
    <n v="2.1"/>
  </r>
  <r>
    <x v="13"/>
    <x v="120"/>
    <x v="4"/>
    <x v="1"/>
    <x v="9"/>
    <x v="9"/>
    <s v="2[82]"/>
    <n v="2"/>
  </r>
  <r>
    <x v="0"/>
    <x v="121"/>
    <x v="6"/>
    <x v="1"/>
    <x v="10"/>
    <x v="10"/>
    <s v="2[5]"/>
    <n v="2"/>
  </r>
  <r>
    <x v="2"/>
    <x v="122"/>
    <x v="1"/>
    <x v="1"/>
    <x v="24"/>
    <x v="24"/>
    <n v="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1210C-30B4-4F14-9748-DF8C25433AF3}" name="Units Sold by Year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 chartFormat="5">
  <location ref="A31:B57" firstHeaderRow="1" firstDataRow="1" firstDataCol="1"/>
  <pivotFields count="8">
    <pivotField showAll="0"/>
    <pivotField showAll="0"/>
    <pivotField showAll="0"/>
    <pivotField showAll="0"/>
    <pivotField axis="axisRow" showAll="0" sortType="ascending">
      <items count="26">
        <item x="18"/>
        <item x="5"/>
        <item x="13"/>
        <item x="0"/>
        <item x="12"/>
        <item x="1"/>
        <item x="19"/>
        <item x="9"/>
        <item x="20"/>
        <item x="10"/>
        <item x="16"/>
        <item x="17"/>
        <item x="11"/>
        <item x="3"/>
        <item x="2"/>
        <item x="4"/>
        <item x="6"/>
        <item x="14"/>
        <item x="8"/>
        <item x="7"/>
        <item x="15"/>
        <item x="21"/>
        <item x="22"/>
        <item x="24"/>
        <item x="23"/>
        <item t="default"/>
      </items>
    </pivotField>
    <pivotField numFmtId="14" showAll="0">
      <items count="26">
        <item x="18"/>
        <item x="5"/>
        <item x="13"/>
        <item x="0"/>
        <item x="12"/>
        <item x="1"/>
        <item x="19"/>
        <item x="9"/>
        <item x="20"/>
        <item x="10"/>
        <item x="16"/>
        <item x="17"/>
        <item x="11"/>
        <item x="3"/>
        <item x="2"/>
        <item x="4"/>
        <item x="6"/>
        <item x="14"/>
        <item x="8"/>
        <item x="7"/>
        <item x="15"/>
        <item x="21"/>
        <item x="22"/>
        <item x="24"/>
        <item x="23"/>
        <item t="default"/>
      </items>
    </pivotField>
    <pivotField showAll="0"/>
    <pivotField dataField="1" showAll="0"/>
  </pivotFields>
  <rowFields count="1">
    <field x="4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Units Sold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58798-120A-4816-9C3D-0742B15F4DEB}" name="Units Sold by Company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 chartFormat="11">
  <location ref="A7:B22" firstHeaderRow="1" firstDataRow="1" firstDataCol="1"/>
  <pivotFields count="8">
    <pivotField axis="axisRow" showAll="0">
      <items count="15">
        <item x="1"/>
        <item x="12"/>
        <item x="7"/>
        <item x="4"/>
        <item x="11"/>
        <item x="5"/>
        <item x="3"/>
        <item x="0"/>
        <item x="10"/>
        <item x="13"/>
        <item x="9"/>
        <item x="2"/>
        <item x="8"/>
        <item x="6"/>
        <item t="default"/>
      </items>
    </pivotField>
    <pivotField showAll="0"/>
    <pivotField showAll="0"/>
    <pivotField showAll="0"/>
    <pivotField showAll="0"/>
    <pivotField numFmtId="14" showAll="0">
      <items count="26">
        <item x="18"/>
        <item x="5"/>
        <item x="13"/>
        <item x="0"/>
        <item x="12"/>
        <item x="1"/>
        <item x="19"/>
        <item x="9"/>
        <item x="20"/>
        <item x="10"/>
        <item x="16"/>
        <item x="17"/>
        <item x="11"/>
        <item x="3"/>
        <item x="2"/>
        <item x="4"/>
        <item x="6"/>
        <item x="14"/>
        <item x="8"/>
        <item x="7"/>
        <item x="15"/>
        <item x="21"/>
        <item x="22"/>
        <item x="24"/>
        <item x="23"/>
        <item t="default"/>
      </items>
    </pivotField>
    <pivotField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Units Sold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DA3DD-2B03-4B8A-AE78-370DED35A17D}" name="Total Phone Models by company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 chartFormat="4">
  <location ref="A104:B119" firstHeaderRow="1" firstDataRow="1" firstDataCol="1"/>
  <pivotFields count="8">
    <pivotField axis="axisRow" showAll="0">
      <items count="15">
        <item x="1"/>
        <item x="12"/>
        <item x="7"/>
        <item x="4"/>
        <item x="11"/>
        <item x="5"/>
        <item x="3"/>
        <item x="0"/>
        <item x="10"/>
        <item x="13"/>
        <item x="9"/>
        <item x="2"/>
        <item x="8"/>
        <item x="6"/>
        <item t="default"/>
      </items>
    </pivotField>
    <pivotField dataField="1" showAll="0"/>
    <pivotField showAll="0"/>
    <pivotField showAll="0"/>
    <pivotField showAll="0"/>
    <pivotField numFmtId="14" showAll="0">
      <items count="26">
        <item x="18"/>
        <item x="5"/>
        <item x="13"/>
        <item x="0"/>
        <item x="12"/>
        <item x="1"/>
        <item x="19"/>
        <item x="9"/>
        <item x="20"/>
        <item x="10"/>
        <item x="16"/>
        <item x="17"/>
        <item x="11"/>
        <item x="3"/>
        <item x="2"/>
        <item x="4"/>
        <item x="6"/>
        <item x="14"/>
        <item x="8"/>
        <item x="7"/>
        <item x="15"/>
        <item x="21"/>
        <item x="22"/>
        <item x="24"/>
        <item x="23"/>
        <item t="default"/>
      </items>
    </pivotField>
    <pivotField showAll="0"/>
    <pivotField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Model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F519C-D96B-4FA7-8872-7BF37284E2B7}" name="Top 10 Mobile Phones Sold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 chartFormat="8">
  <location ref="A86:B97" firstHeaderRow="1" firstDataRow="1" firstDataCol="1" rowPageCount="1" colPageCount="1"/>
  <pivotFields count="8">
    <pivotField axis="axisPage" showAll="0">
      <items count="15">
        <item x="1"/>
        <item x="12"/>
        <item x="7"/>
        <item x="4"/>
        <item x="11"/>
        <item x="5"/>
        <item x="3"/>
        <item x="0"/>
        <item x="10"/>
        <item x="13"/>
        <item x="9"/>
        <item x="2"/>
        <item x="8"/>
        <item x="6"/>
        <item t="default"/>
      </items>
    </pivotField>
    <pivotField axis="axisRow" showAll="0" measureFilter="1" sortType="ascending">
      <items count="124">
        <item x="0"/>
        <item x="1"/>
        <item x="11"/>
        <item x="22"/>
        <item x="61"/>
        <item x="43"/>
        <item x="6"/>
        <item x="12"/>
        <item x="36"/>
        <item x="10"/>
        <item x="3"/>
        <item x="21"/>
        <item x="17"/>
        <item x="15"/>
        <item x="33"/>
        <item x="18"/>
        <item x="26"/>
        <item x="50"/>
        <item x="73"/>
        <item x="74"/>
        <item x="23"/>
        <item x="34"/>
        <item x="97"/>
        <item x="20"/>
        <item x="79"/>
        <item x="31"/>
        <item x="30"/>
        <item x="120"/>
        <item x="60"/>
        <item x="83"/>
        <item x="82"/>
        <item x="13"/>
        <item x="47"/>
        <item x="75"/>
        <item x="101"/>
        <item x="114"/>
        <item x="93"/>
        <item x="68"/>
        <item x="65"/>
        <item x="46"/>
        <item x="110"/>
        <item x="71"/>
        <item x="59"/>
        <item x="64"/>
        <item x="99"/>
        <item x="112"/>
        <item x="56"/>
        <item x="58"/>
        <item x="55"/>
        <item x="72"/>
        <item x="103"/>
        <item x="106"/>
        <item x="90"/>
        <item x="92"/>
        <item x="94"/>
        <item x="98"/>
        <item x="49"/>
        <item x="54"/>
        <item x="40"/>
        <item x="24"/>
        <item x="41"/>
        <item x="96"/>
        <item x="53"/>
        <item x="81"/>
        <item x="85"/>
        <item x="25"/>
        <item x="37"/>
        <item x="32"/>
        <item x="39"/>
        <item x="42"/>
        <item x="104"/>
        <item x="8"/>
        <item x="52"/>
        <item x="44"/>
        <item x="35"/>
        <item x="28"/>
        <item x="14"/>
        <item x="5"/>
        <item x="2"/>
        <item x="4"/>
        <item x="7"/>
        <item x="19"/>
        <item x="57"/>
        <item x="27"/>
        <item x="9"/>
        <item x="76"/>
        <item x="77"/>
        <item x="48"/>
        <item x="115"/>
        <item x="66"/>
        <item x="67"/>
        <item x="84"/>
        <item x="70"/>
        <item x="91"/>
        <item x="38"/>
        <item x="87"/>
        <item x="121"/>
        <item x="113"/>
        <item x="45"/>
        <item x="63"/>
        <item x="119"/>
        <item x="16"/>
        <item x="95"/>
        <item x="102"/>
        <item x="100"/>
        <item x="62"/>
        <item x="51"/>
        <item x="80"/>
        <item x="122"/>
        <item x="109"/>
        <item x="118"/>
        <item x="116"/>
        <item x="108"/>
        <item x="111"/>
        <item x="117"/>
        <item x="107"/>
        <item x="86"/>
        <item x="88"/>
        <item x="89"/>
        <item x="29"/>
        <item x="69"/>
        <item x="105"/>
        <item x="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26">
        <item x="18"/>
        <item x="5"/>
        <item x="13"/>
        <item x="0"/>
        <item x="12"/>
        <item x="1"/>
        <item x="19"/>
        <item x="9"/>
        <item x="20"/>
        <item x="10"/>
        <item x="16"/>
        <item x="17"/>
        <item x="11"/>
        <item x="3"/>
        <item x="2"/>
        <item x="4"/>
        <item x="6"/>
        <item x="14"/>
        <item x="8"/>
        <item x="7"/>
        <item x="15"/>
        <item x="21"/>
        <item x="22"/>
        <item x="24"/>
        <item x="23"/>
        <item t="default"/>
      </items>
    </pivotField>
    <pivotField showAll="0"/>
    <pivotField dataField="1" showAll="0"/>
  </pivotFields>
  <rowFields count="1">
    <field x="1"/>
  </rowFields>
  <rowItems count="11">
    <i>
      <x v="84"/>
    </i>
    <i>
      <x v="71"/>
    </i>
    <i>
      <x v="80"/>
    </i>
    <i>
      <x v="6"/>
    </i>
    <i>
      <x v="77"/>
    </i>
    <i>
      <x v="79"/>
    </i>
    <i>
      <x v="10"/>
    </i>
    <i>
      <x v="78"/>
    </i>
    <i>
      <x v="1"/>
    </i>
    <i>
      <x/>
    </i>
    <i t="grand">
      <x/>
    </i>
  </rowItems>
  <colItems count="1">
    <i/>
  </colItems>
  <pageFields count="1">
    <pageField fld="0" hier="-1"/>
  </pageFields>
  <dataFields count="1">
    <dataField name="Sum of Units Sold" fld="7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B5AF9-F0E9-4DF7-BC48-62803B386CF9}" name="Units Sold by Form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multipleFieldFilters="0" chartFormat="18">
  <location ref="A68:B76" firstHeaderRow="1" firstDataRow="1" firstDataCol="1" rowPageCount="1" colPageCount="1"/>
  <pivotFields count="8">
    <pivotField showAll="0"/>
    <pivotField showAll="0"/>
    <pivotField axis="axisRow" showAll="0">
      <items count="8">
        <item x="0"/>
        <item x="2"/>
        <item x="4"/>
        <item x="3"/>
        <item x="5"/>
        <item x="6"/>
        <item x="1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showAll="0"/>
    <pivotField numFmtId="14" showAll="0">
      <items count="26">
        <item x="18"/>
        <item x="5"/>
        <item x="13"/>
        <item x="0"/>
        <item x="12"/>
        <item x="1"/>
        <item x="19"/>
        <item x="9"/>
        <item x="20"/>
        <item x="10"/>
        <item x="16"/>
        <item x="17"/>
        <item x="11"/>
        <item x="3"/>
        <item x="2"/>
        <item x="4"/>
        <item x="6"/>
        <item x="14"/>
        <item x="8"/>
        <item x="7"/>
        <item x="15"/>
        <item x="21"/>
        <item x="22"/>
        <item x="24"/>
        <item x="23"/>
        <item t="default"/>
      </items>
    </pivotField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Sum of Units Sold" fld="7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9562B1AF-A6BF-4ECD-9E4C-E8C008D97A8F}" sourceName="date">
  <pivotTables>
    <pivotTable tabId="3" name="Top 10 Mobile Phones Sold"/>
    <pivotTable tabId="3" name="Total Phone Models by company"/>
    <pivotTable tabId="3" name="Units Sold by Company"/>
    <pivotTable tabId="3" name="Units Sold by Form"/>
    <pivotTable tabId="3" name="Units Sold by Year"/>
  </pivotTables>
  <state minimalRefreshVersion="6" lastRefreshVersion="6" pivotCacheId="1104797933" filterType="unknown">
    <bounds startDate="1996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522A1D47-2980-412A-92DC-AE5E5E82DAC2}" cache="NativeTimeline_date" caption="Years" showSelectionLabel="0" showTimeLevel="0" level="0" selectionLevel="0" scrollPosition="1996-01-01T00:00:00" style="Timeline Style 1"/>
</timeline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E4F0-A5E7-42D5-ADE6-09E679AEF734}">
  <dimension ref="A1:H124"/>
  <sheetViews>
    <sheetView topLeftCell="A7" workbookViewId="0">
      <selection activeCell="F6" sqref="F6"/>
    </sheetView>
  </sheetViews>
  <sheetFormatPr defaultRowHeight="15" x14ac:dyDescent="0.25"/>
  <cols>
    <col min="1" max="1" width="25.5703125" customWidth="1"/>
    <col min="2" max="2" width="30.140625" customWidth="1"/>
    <col min="3" max="3" width="26.42578125" customWidth="1"/>
    <col min="4" max="4" width="17.140625" customWidth="1"/>
    <col min="5" max="5" width="16.5703125" customWidth="1"/>
    <col min="6" max="6" width="16.5703125" style="7" customWidth="1"/>
    <col min="7" max="7" width="21.5703125" customWidth="1"/>
    <col min="8" max="8" width="23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273</v>
      </c>
      <c r="F1" s="7" t="s">
        <v>279</v>
      </c>
      <c r="G1" t="s">
        <v>4</v>
      </c>
      <c r="H1" t="s">
        <v>272</v>
      </c>
    </row>
    <row r="2" spans="1:8" x14ac:dyDescent="0.25">
      <c r="A2" t="s">
        <v>5</v>
      </c>
      <c r="B2">
        <v>1100</v>
      </c>
      <c r="C2" t="s">
        <v>6</v>
      </c>
      <c r="D2" t="s">
        <v>7</v>
      </c>
      <c r="E2">
        <v>2003</v>
      </c>
      <c r="F2" s="7">
        <f>DATE(E2, 1, 1)</f>
        <v>37622</v>
      </c>
      <c r="G2" s="2" t="s">
        <v>8</v>
      </c>
      <c r="H2">
        <f>IFERROR(VALUE(LEFT(G2, FIND("[", G2)-1)), VALUE(G2))</f>
        <v>250</v>
      </c>
    </row>
    <row r="3" spans="1:8" x14ac:dyDescent="0.25">
      <c r="A3" t="s">
        <v>5</v>
      </c>
      <c r="B3">
        <v>1110</v>
      </c>
      <c r="C3" t="s">
        <v>6</v>
      </c>
      <c r="D3" t="s">
        <v>7</v>
      </c>
      <c r="E3">
        <v>2005</v>
      </c>
      <c r="F3" s="7">
        <f t="shared" ref="F3:F66" si="0">DATE(E3, 1, 1)</f>
        <v>38353</v>
      </c>
      <c r="G3" t="s">
        <v>9</v>
      </c>
      <c r="H3">
        <f t="shared" ref="H3:H66" si="1">IFERROR(VALUE(LEFT(G3, FIND("[", G3)-1)), VALUE(G3))</f>
        <v>247.5</v>
      </c>
    </row>
    <row r="4" spans="1:8" x14ac:dyDescent="0.25">
      <c r="A4" t="s">
        <v>10</v>
      </c>
      <c r="B4" t="s">
        <v>11</v>
      </c>
      <c r="C4" t="s">
        <v>12</v>
      </c>
      <c r="D4" t="s">
        <v>13</v>
      </c>
      <c r="E4">
        <v>2014</v>
      </c>
      <c r="F4" s="7">
        <f t="shared" si="0"/>
        <v>41640</v>
      </c>
      <c r="G4" t="s">
        <v>14</v>
      </c>
      <c r="H4">
        <f t="shared" si="1"/>
        <v>222.4</v>
      </c>
    </row>
    <row r="5" spans="1:8" x14ac:dyDescent="0.25">
      <c r="A5" t="s">
        <v>5</v>
      </c>
      <c r="B5" t="s">
        <v>15</v>
      </c>
      <c r="C5" t="s">
        <v>6</v>
      </c>
      <c r="D5" t="s">
        <v>7</v>
      </c>
      <c r="E5">
        <v>2013</v>
      </c>
      <c r="F5" s="7">
        <f t="shared" si="0"/>
        <v>41275</v>
      </c>
      <c r="G5" t="s">
        <v>16</v>
      </c>
      <c r="H5">
        <f t="shared" si="1"/>
        <v>200</v>
      </c>
    </row>
    <row r="6" spans="1:8" x14ac:dyDescent="0.25">
      <c r="A6" t="s">
        <v>10</v>
      </c>
      <c r="B6" t="s">
        <v>17</v>
      </c>
      <c r="C6" t="s">
        <v>12</v>
      </c>
      <c r="D6" t="s">
        <v>13</v>
      </c>
      <c r="E6">
        <v>2015</v>
      </c>
      <c r="F6" s="7">
        <f t="shared" si="0"/>
        <v>42005</v>
      </c>
      <c r="G6" t="s">
        <v>18</v>
      </c>
      <c r="H6">
        <f t="shared" si="1"/>
        <v>174.1</v>
      </c>
    </row>
    <row r="7" spans="1:8" x14ac:dyDescent="0.25">
      <c r="A7" t="s">
        <v>10</v>
      </c>
      <c r="B7" t="s">
        <v>19</v>
      </c>
      <c r="C7" t="s">
        <v>12</v>
      </c>
      <c r="D7" t="s">
        <v>13</v>
      </c>
      <c r="E7">
        <v>2013</v>
      </c>
      <c r="F7" s="7">
        <f t="shared" si="0"/>
        <v>41275</v>
      </c>
      <c r="G7" t="s">
        <v>20</v>
      </c>
      <c r="H7">
        <f t="shared" si="1"/>
        <v>164.5</v>
      </c>
    </row>
    <row r="8" spans="1:8" x14ac:dyDescent="0.25">
      <c r="A8" t="s">
        <v>5</v>
      </c>
      <c r="B8">
        <v>3210</v>
      </c>
      <c r="C8" t="s">
        <v>6</v>
      </c>
      <c r="D8" t="s">
        <v>7</v>
      </c>
      <c r="E8">
        <v>1999</v>
      </c>
      <c r="F8" s="7">
        <f t="shared" si="0"/>
        <v>36161</v>
      </c>
      <c r="G8" t="s">
        <v>21</v>
      </c>
      <c r="H8">
        <f t="shared" si="1"/>
        <v>161</v>
      </c>
    </row>
    <row r="9" spans="1:8" x14ac:dyDescent="0.25">
      <c r="A9" t="s">
        <v>10</v>
      </c>
      <c r="B9" t="s">
        <v>22</v>
      </c>
      <c r="C9" t="s">
        <v>12</v>
      </c>
      <c r="D9" t="s">
        <v>13</v>
      </c>
      <c r="E9">
        <v>2016</v>
      </c>
      <c r="F9" s="7">
        <f t="shared" si="0"/>
        <v>42370</v>
      </c>
      <c r="G9" t="s">
        <v>23</v>
      </c>
      <c r="H9">
        <f t="shared" si="1"/>
        <v>159.9</v>
      </c>
    </row>
    <row r="10" spans="1:8" x14ac:dyDescent="0.25">
      <c r="A10" t="s">
        <v>10</v>
      </c>
      <c r="B10" t="s">
        <v>24</v>
      </c>
      <c r="C10" t="s">
        <v>12</v>
      </c>
      <c r="D10" t="s">
        <v>13</v>
      </c>
      <c r="E10">
        <v>2019</v>
      </c>
      <c r="F10" s="7">
        <f t="shared" si="0"/>
        <v>43466</v>
      </c>
      <c r="G10" t="s">
        <v>25</v>
      </c>
      <c r="H10">
        <f t="shared" si="1"/>
        <v>159.19999999999999</v>
      </c>
    </row>
    <row r="11" spans="1:8" x14ac:dyDescent="0.25">
      <c r="A11" t="s">
        <v>10</v>
      </c>
      <c r="B11" t="s">
        <v>26</v>
      </c>
      <c r="C11" t="s">
        <v>12</v>
      </c>
      <c r="D11" t="s">
        <v>13</v>
      </c>
      <c r="E11">
        <v>2018</v>
      </c>
      <c r="F11" s="7">
        <f t="shared" si="0"/>
        <v>43101</v>
      </c>
      <c r="G11" t="s">
        <v>27</v>
      </c>
      <c r="H11">
        <f t="shared" si="1"/>
        <v>151.1</v>
      </c>
    </row>
    <row r="12" spans="1:8" x14ac:dyDescent="0.25">
      <c r="A12" t="s">
        <v>5</v>
      </c>
      <c r="B12">
        <v>6600</v>
      </c>
      <c r="C12" t="s">
        <v>6</v>
      </c>
      <c r="D12" t="s">
        <v>13</v>
      </c>
      <c r="E12">
        <v>2003</v>
      </c>
      <c r="F12" s="7">
        <f t="shared" si="0"/>
        <v>37622</v>
      </c>
      <c r="G12" t="s">
        <v>28</v>
      </c>
      <c r="H12">
        <f t="shared" si="1"/>
        <v>150</v>
      </c>
    </row>
    <row r="13" spans="1:8" x14ac:dyDescent="0.25">
      <c r="A13" t="s">
        <v>5</v>
      </c>
      <c r="B13">
        <v>1200</v>
      </c>
      <c r="C13" t="s">
        <v>6</v>
      </c>
      <c r="D13" t="s">
        <v>7</v>
      </c>
      <c r="E13">
        <v>2007</v>
      </c>
      <c r="F13" s="7">
        <f t="shared" si="0"/>
        <v>39083</v>
      </c>
      <c r="G13" t="s">
        <v>29</v>
      </c>
      <c r="H13">
        <f t="shared" si="1"/>
        <v>150</v>
      </c>
    </row>
    <row r="14" spans="1:8" x14ac:dyDescent="0.25">
      <c r="A14" t="s">
        <v>5</v>
      </c>
      <c r="B14">
        <v>5230</v>
      </c>
      <c r="C14" t="s">
        <v>12</v>
      </c>
      <c r="D14" t="s">
        <v>13</v>
      </c>
      <c r="E14">
        <v>2009</v>
      </c>
      <c r="F14" s="7">
        <f t="shared" si="0"/>
        <v>39814</v>
      </c>
      <c r="G14" t="s">
        <v>29</v>
      </c>
      <c r="H14">
        <f t="shared" si="1"/>
        <v>150</v>
      </c>
    </row>
    <row r="15" spans="1:8" x14ac:dyDescent="0.25">
      <c r="A15" t="s">
        <v>30</v>
      </c>
      <c r="B15" t="s">
        <v>31</v>
      </c>
      <c r="C15" t="s">
        <v>6</v>
      </c>
      <c r="D15" t="s">
        <v>7</v>
      </c>
      <c r="E15">
        <v>2009</v>
      </c>
      <c r="F15" s="7">
        <f t="shared" si="0"/>
        <v>39814</v>
      </c>
      <c r="G15" t="s">
        <v>32</v>
      </c>
      <c r="H15">
        <f t="shared" si="1"/>
        <v>150</v>
      </c>
    </row>
    <row r="16" spans="1:8" x14ac:dyDescent="0.25">
      <c r="A16" t="s">
        <v>10</v>
      </c>
      <c r="B16" t="s">
        <v>33</v>
      </c>
      <c r="C16" t="s">
        <v>12</v>
      </c>
      <c r="D16" t="s">
        <v>13</v>
      </c>
      <c r="E16">
        <v>2012</v>
      </c>
      <c r="F16" s="7">
        <f t="shared" si="0"/>
        <v>40909</v>
      </c>
      <c r="G16" t="s">
        <v>34</v>
      </c>
      <c r="H16">
        <f t="shared" si="1"/>
        <v>146.19999999999999</v>
      </c>
    </row>
    <row r="17" spans="1:8" x14ac:dyDescent="0.25">
      <c r="A17" t="s">
        <v>5</v>
      </c>
      <c r="B17" t="s">
        <v>35</v>
      </c>
      <c r="C17" t="s">
        <v>6</v>
      </c>
      <c r="D17" t="s">
        <v>7</v>
      </c>
      <c r="E17">
        <v>2004</v>
      </c>
      <c r="F17" s="7">
        <f t="shared" si="0"/>
        <v>37987</v>
      </c>
      <c r="G17" t="s">
        <v>36</v>
      </c>
      <c r="H17">
        <f t="shared" si="1"/>
        <v>135</v>
      </c>
    </row>
    <row r="18" spans="1:8" x14ac:dyDescent="0.25">
      <c r="A18" t="s">
        <v>37</v>
      </c>
      <c r="B18" t="s">
        <v>38</v>
      </c>
      <c r="C18" t="s">
        <v>39</v>
      </c>
      <c r="D18" t="s">
        <v>7</v>
      </c>
      <c r="E18">
        <v>2004</v>
      </c>
      <c r="F18" s="7">
        <f t="shared" si="0"/>
        <v>37987</v>
      </c>
      <c r="G18" t="s">
        <v>40</v>
      </c>
      <c r="H18">
        <f t="shared" si="1"/>
        <v>130</v>
      </c>
    </row>
    <row r="19" spans="1:8" x14ac:dyDescent="0.25">
      <c r="A19" t="s">
        <v>5</v>
      </c>
      <c r="B19" t="s">
        <v>41</v>
      </c>
      <c r="C19" t="s">
        <v>6</v>
      </c>
      <c r="D19" t="s">
        <v>7</v>
      </c>
      <c r="E19">
        <v>2005</v>
      </c>
      <c r="F19" s="7">
        <f t="shared" si="0"/>
        <v>38353</v>
      </c>
      <c r="G19" t="s">
        <v>42</v>
      </c>
      <c r="H19">
        <f t="shared" si="1"/>
        <v>130</v>
      </c>
    </row>
    <row r="20" spans="1:8" x14ac:dyDescent="0.25">
      <c r="A20" t="s">
        <v>5</v>
      </c>
      <c r="B20" t="s">
        <v>43</v>
      </c>
      <c r="C20" t="s">
        <v>6</v>
      </c>
      <c r="D20" t="s">
        <v>7</v>
      </c>
      <c r="E20">
        <v>2000</v>
      </c>
      <c r="F20" s="7">
        <f t="shared" si="0"/>
        <v>36526</v>
      </c>
      <c r="G20" t="s">
        <v>44</v>
      </c>
      <c r="H20">
        <f t="shared" si="1"/>
        <v>126</v>
      </c>
    </row>
    <row r="21" spans="1:8" x14ac:dyDescent="0.25">
      <c r="A21" t="s">
        <v>10</v>
      </c>
      <c r="B21" t="s">
        <v>45</v>
      </c>
      <c r="C21" t="s">
        <v>12</v>
      </c>
      <c r="D21" t="s">
        <v>13</v>
      </c>
      <c r="E21">
        <v>2017</v>
      </c>
      <c r="F21" s="7">
        <f t="shared" si="0"/>
        <v>42736</v>
      </c>
      <c r="G21" t="s">
        <v>46</v>
      </c>
      <c r="H21">
        <f t="shared" si="1"/>
        <v>124.7</v>
      </c>
    </row>
    <row r="22" spans="1:8" x14ac:dyDescent="0.25">
      <c r="A22" t="s">
        <v>10</v>
      </c>
      <c r="B22" t="s">
        <v>47</v>
      </c>
      <c r="C22" t="s">
        <v>12</v>
      </c>
      <c r="D22" t="s">
        <v>13</v>
      </c>
      <c r="E22">
        <v>2020</v>
      </c>
      <c r="F22" s="7">
        <f t="shared" si="0"/>
        <v>43831</v>
      </c>
      <c r="G22" t="s">
        <v>48</v>
      </c>
      <c r="H22">
        <f t="shared" si="1"/>
        <v>100</v>
      </c>
    </row>
    <row r="23" spans="1:8" x14ac:dyDescent="0.25">
      <c r="A23" t="s">
        <v>5</v>
      </c>
      <c r="B23" t="s">
        <v>49</v>
      </c>
      <c r="C23" t="s">
        <v>6</v>
      </c>
      <c r="D23" t="s">
        <v>7</v>
      </c>
      <c r="E23">
        <v>2007</v>
      </c>
      <c r="F23" s="7">
        <f t="shared" si="0"/>
        <v>39083</v>
      </c>
      <c r="G23" t="s">
        <v>50</v>
      </c>
      <c r="H23">
        <f t="shared" si="1"/>
        <v>100</v>
      </c>
    </row>
    <row r="24" spans="1:8" x14ac:dyDescent="0.25">
      <c r="A24" t="s">
        <v>5</v>
      </c>
      <c r="B24">
        <v>1280</v>
      </c>
      <c r="C24" t="s">
        <v>6</v>
      </c>
      <c r="D24" t="s">
        <v>7</v>
      </c>
      <c r="E24">
        <v>2010</v>
      </c>
      <c r="F24" s="7">
        <f t="shared" si="0"/>
        <v>40179</v>
      </c>
      <c r="G24" t="s">
        <v>51</v>
      </c>
      <c r="H24">
        <f t="shared" si="1"/>
        <v>100</v>
      </c>
    </row>
    <row r="25" spans="1:8" x14ac:dyDescent="0.25">
      <c r="A25" t="s">
        <v>5</v>
      </c>
      <c r="B25" t="s">
        <v>52</v>
      </c>
      <c r="C25" t="s">
        <v>6</v>
      </c>
      <c r="D25" t="s">
        <v>7</v>
      </c>
      <c r="E25">
        <v>2004</v>
      </c>
      <c r="F25" s="7">
        <f t="shared" si="0"/>
        <v>37987</v>
      </c>
      <c r="G25" t="s">
        <v>53</v>
      </c>
      <c r="H25">
        <f t="shared" si="1"/>
        <v>75</v>
      </c>
    </row>
    <row r="26" spans="1:8" x14ac:dyDescent="0.25">
      <c r="A26" t="s">
        <v>30</v>
      </c>
      <c r="B26" t="s">
        <v>54</v>
      </c>
      <c r="C26" t="s">
        <v>12</v>
      </c>
      <c r="D26" t="s">
        <v>13</v>
      </c>
      <c r="E26">
        <v>2012</v>
      </c>
      <c r="F26" s="7">
        <f t="shared" si="0"/>
        <v>40909</v>
      </c>
      <c r="G26" t="s">
        <v>55</v>
      </c>
      <c r="H26">
        <f t="shared" si="1"/>
        <v>70</v>
      </c>
    </row>
    <row r="27" spans="1:8" x14ac:dyDescent="0.25">
      <c r="A27" t="s">
        <v>30</v>
      </c>
      <c r="B27" t="s">
        <v>56</v>
      </c>
      <c r="C27" t="s">
        <v>12</v>
      </c>
      <c r="D27" t="s">
        <v>13</v>
      </c>
      <c r="E27">
        <v>2013</v>
      </c>
      <c r="F27" s="7">
        <f t="shared" si="0"/>
        <v>41275</v>
      </c>
      <c r="G27" t="s">
        <v>57</v>
      </c>
      <c r="H27">
        <f t="shared" si="1"/>
        <v>70</v>
      </c>
    </row>
    <row r="28" spans="1:8" x14ac:dyDescent="0.25">
      <c r="A28" t="s">
        <v>5</v>
      </c>
      <c r="B28" t="s">
        <v>58</v>
      </c>
      <c r="C28" t="s">
        <v>6</v>
      </c>
      <c r="D28" t="s">
        <v>7</v>
      </c>
      <c r="E28">
        <v>2007</v>
      </c>
      <c r="F28" s="7">
        <f t="shared" si="0"/>
        <v>39083</v>
      </c>
      <c r="G28" t="s">
        <v>59</v>
      </c>
      <c r="H28">
        <f t="shared" si="1"/>
        <v>65</v>
      </c>
    </row>
    <row r="29" spans="1:8" x14ac:dyDescent="0.25">
      <c r="A29" t="s">
        <v>10</v>
      </c>
      <c r="B29" t="s">
        <v>60</v>
      </c>
      <c r="C29" t="s">
        <v>12</v>
      </c>
      <c r="D29" t="s">
        <v>13</v>
      </c>
      <c r="E29">
        <v>2017</v>
      </c>
      <c r="F29" s="7">
        <f t="shared" si="0"/>
        <v>42736</v>
      </c>
      <c r="G29" t="s">
        <v>61</v>
      </c>
      <c r="H29">
        <f t="shared" si="1"/>
        <v>63</v>
      </c>
    </row>
    <row r="30" spans="1:8" x14ac:dyDescent="0.25">
      <c r="A30" t="s">
        <v>10</v>
      </c>
      <c r="B30" t="s">
        <v>62</v>
      </c>
      <c r="C30" t="s">
        <v>12</v>
      </c>
      <c r="D30" t="s">
        <v>13</v>
      </c>
      <c r="E30">
        <v>2011</v>
      </c>
      <c r="F30" s="7">
        <f t="shared" si="0"/>
        <v>40544</v>
      </c>
      <c r="G30" t="s">
        <v>63</v>
      </c>
      <c r="H30">
        <f t="shared" si="1"/>
        <v>60</v>
      </c>
    </row>
    <row r="31" spans="1:8" x14ac:dyDescent="0.25">
      <c r="A31" t="s">
        <v>37</v>
      </c>
      <c r="B31" t="s">
        <v>64</v>
      </c>
      <c r="C31" t="s">
        <v>39</v>
      </c>
      <c r="D31" t="s">
        <v>7</v>
      </c>
      <c r="E31">
        <v>1996</v>
      </c>
      <c r="F31" s="7">
        <f t="shared" si="0"/>
        <v>35065</v>
      </c>
      <c r="G31" t="s">
        <v>65</v>
      </c>
      <c r="H31">
        <f t="shared" si="1"/>
        <v>60</v>
      </c>
    </row>
    <row r="32" spans="1:8" x14ac:dyDescent="0.25">
      <c r="A32" t="s">
        <v>37</v>
      </c>
      <c r="B32" t="s">
        <v>66</v>
      </c>
      <c r="C32" t="s">
        <v>6</v>
      </c>
      <c r="D32" t="s">
        <v>7</v>
      </c>
      <c r="E32">
        <v>2003</v>
      </c>
      <c r="F32" s="7">
        <f t="shared" si="0"/>
        <v>37622</v>
      </c>
      <c r="G32" t="s">
        <v>67</v>
      </c>
      <c r="H32">
        <f t="shared" si="1"/>
        <v>60</v>
      </c>
    </row>
    <row r="33" spans="1:8" x14ac:dyDescent="0.25">
      <c r="A33" t="s">
        <v>37</v>
      </c>
      <c r="B33" t="s">
        <v>68</v>
      </c>
      <c r="C33" t="s">
        <v>6</v>
      </c>
      <c r="D33" t="s">
        <v>7</v>
      </c>
      <c r="E33">
        <v>2005</v>
      </c>
      <c r="F33" s="7">
        <f t="shared" si="0"/>
        <v>38353</v>
      </c>
      <c r="G33" t="s">
        <v>69</v>
      </c>
      <c r="H33">
        <f t="shared" si="1"/>
        <v>60</v>
      </c>
    </row>
    <row r="34" spans="1:8" x14ac:dyDescent="0.25">
      <c r="A34" t="s">
        <v>30</v>
      </c>
      <c r="B34" t="s">
        <v>70</v>
      </c>
      <c r="C34" t="s">
        <v>12</v>
      </c>
      <c r="D34" t="s">
        <v>13</v>
      </c>
      <c r="E34">
        <v>2016</v>
      </c>
      <c r="F34" s="7">
        <f t="shared" si="0"/>
        <v>42370</v>
      </c>
      <c r="G34" t="s">
        <v>71</v>
      </c>
      <c r="H34">
        <f t="shared" si="1"/>
        <v>55</v>
      </c>
    </row>
    <row r="35" spans="1:8" x14ac:dyDescent="0.25">
      <c r="A35" t="s">
        <v>5</v>
      </c>
      <c r="B35" t="s">
        <v>72</v>
      </c>
      <c r="C35" t="s">
        <v>6</v>
      </c>
      <c r="D35" t="s">
        <v>7</v>
      </c>
      <c r="E35">
        <v>2003</v>
      </c>
      <c r="F35" s="7">
        <f t="shared" si="0"/>
        <v>37622</v>
      </c>
      <c r="G35" t="s">
        <v>73</v>
      </c>
      <c r="H35">
        <f t="shared" si="1"/>
        <v>50</v>
      </c>
    </row>
    <row r="36" spans="1:8" x14ac:dyDescent="0.25">
      <c r="A36" t="s">
        <v>5</v>
      </c>
      <c r="B36" t="s">
        <v>74</v>
      </c>
      <c r="C36" t="s">
        <v>6</v>
      </c>
      <c r="D36" t="s">
        <v>7</v>
      </c>
      <c r="E36">
        <v>2004</v>
      </c>
      <c r="F36" s="7">
        <f t="shared" si="0"/>
        <v>37987</v>
      </c>
      <c r="G36" t="s">
        <v>73</v>
      </c>
      <c r="H36">
        <f t="shared" si="1"/>
        <v>50</v>
      </c>
    </row>
    <row r="37" spans="1:8" x14ac:dyDescent="0.25">
      <c r="A37" t="s">
        <v>10</v>
      </c>
      <c r="B37" t="s">
        <v>75</v>
      </c>
      <c r="C37" t="s">
        <v>12</v>
      </c>
      <c r="D37" t="s">
        <v>13</v>
      </c>
      <c r="E37">
        <v>2010</v>
      </c>
      <c r="F37" s="7">
        <f t="shared" si="0"/>
        <v>40179</v>
      </c>
      <c r="G37" t="s">
        <v>76</v>
      </c>
      <c r="H37">
        <f t="shared" si="1"/>
        <v>50</v>
      </c>
    </row>
    <row r="38" spans="1:8" x14ac:dyDescent="0.25">
      <c r="A38" t="s">
        <v>5</v>
      </c>
      <c r="B38">
        <v>6300</v>
      </c>
      <c r="C38" t="s">
        <v>6</v>
      </c>
      <c r="D38" t="s">
        <v>7</v>
      </c>
      <c r="E38">
        <v>2006</v>
      </c>
      <c r="F38" s="7">
        <f t="shared" si="0"/>
        <v>38718</v>
      </c>
      <c r="G38" t="s">
        <v>77</v>
      </c>
      <c r="H38">
        <f t="shared" si="1"/>
        <v>47</v>
      </c>
    </row>
    <row r="39" spans="1:8" x14ac:dyDescent="0.25">
      <c r="A39" t="s">
        <v>30</v>
      </c>
      <c r="B39" t="s">
        <v>78</v>
      </c>
      <c r="C39" t="s">
        <v>12</v>
      </c>
      <c r="D39" t="s">
        <v>13</v>
      </c>
      <c r="E39">
        <v>2015</v>
      </c>
      <c r="F39" s="7">
        <f t="shared" si="0"/>
        <v>42005</v>
      </c>
      <c r="G39" t="s">
        <v>79</v>
      </c>
      <c r="H39">
        <f t="shared" si="1"/>
        <v>45</v>
      </c>
    </row>
    <row r="40" spans="1:8" x14ac:dyDescent="0.25">
      <c r="A40" t="s">
        <v>5</v>
      </c>
      <c r="B40" t="s">
        <v>80</v>
      </c>
      <c r="C40" t="s">
        <v>6</v>
      </c>
      <c r="D40" t="s">
        <v>13</v>
      </c>
      <c r="E40">
        <v>2005</v>
      </c>
      <c r="F40" s="7">
        <f t="shared" si="0"/>
        <v>38353</v>
      </c>
      <c r="G40" t="s">
        <v>81</v>
      </c>
      <c r="H40">
        <f t="shared" si="1"/>
        <v>45</v>
      </c>
    </row>
    <row r="41" spans="1:8" x14ac:dyDescent="0.25">
      <c r="A41" t="s">
        <v>30</v>
      </c>
      <c r="B41" t="s">
        <v>82</v>
      </c>
      <c r="C41" t="s">
        <v>12</v>
      </c>
      <c r="D41" t="s">
        <v>13</v>
      </c>
      <c r="E41">
        <v>2017</v>
      </c>
      <c r="F41" s="7">
        <f t="shared" si="0"/>
        <v>42736</v>
      </c>
      <c r="G41" t="s">
        <v>83</v>
      </c>
      <c r="H41">
        <f t="shared" si="1"/>
        <v>41</v>
      </c>
    </row>
    <row r="42" spans="1:8" x14ac:dyDescent="0.25">
      <c r="A42" t="s">
        <v>30</v>
      </c>
      <c r="B42" t="s">
        <v>84</v>
      </c>
      <c r="C42" t="s">
        <v>12</v>
      </c>
      <c r="D42" t="s">
        <v>13</v>
      </c>
      <c r="E42">
        <v>2011</v>
      </c>
      <c r="F42" s="7">
        <f t="shared" si="0"/>
        <v>40544</v>
      </c>
      <c r="G42" t="s">
        <v>85</v>
      </c>
      <c r="H42">
        <f t="shared" si="1"/>
        <v>40</v>
      </c>
    </row>
    <row r="43" spans="1:8" x14ac:dyDescent="0.25">
      <c r="A43" t="s">
        <v>30</v>
      </c>
      <c r="B43" t="s">
        <v>86</v>
      </c>
      <c r="C43" t="s">
        <v>12</v>
      </c>
      <c r="D43" t="s">
        <v>13</v>
      </c>
      <c r="E43">
        <v>2019</v>
      </c>
      <c r="F43" s="7">
        <f t="shared" si="0"/>
        <v>43466</v>
      </c>
      <c r="G43" t="s">
        <v>87</v>
      </c>
      <c r="H43">
        <f t="shared" si="1"/>
        <v>37</v>
      </c>
    </row>
    <row r="44" spans="1:8" x14ac:dyDescent="0.25">
      <c r="A44" t="s">
        <v>30</v>
      </c>
      <c r="B44" t="s">
        <v>88</v>
      </c>
      <c r="C44" t="s">
        <v>12</v>
      </c>
      <c r="D44" t="s">
        <v>13</v>
      </c>
      <c r="E44">
        <v>2018</v>
      </c>
      <c r="F44" s="7">
        <f t="shared" si="0"/>
        <v>43101</v>
      </c>
      <c r="G44" t="s">
        <v>89</v>
      </c>
      <c r="H44">
        <f t="shared" si="1"/>
        <v>35.4</v>
      </c>
    </row>
    <row r="45" spans="1:8" x14ac:dyDescent="0.25">
      <c r="A45" t="s">
        <v>5</v>
      </c>
      <c r="B45">
        <v>2650</v>
      </c>
      <c r="C45" t="s">
        <v>39</v>
      </c>
      <c r="D45" t="s">
        <v>7</v>
      </c>
      <c r="E45">
        <v>2004</v>
      </c>
      <c r="F45" s="7">
        <f t="shared" si="0"/>
        <v>37987</v>
      </c>
      <c r="G45" t="s">
        <v>90</v>
      </c>
      <c r="H45">
        <f t="shared" si="1"/>
        <v>35</v>
      </c>
    </row>
    <row r="46" spans="1:8" x14ac:dyDescent="0.25">
      <c r="A46" t="s">
        <v>10</v>
      </c>
      <c r="B46" t="s">
        <v>91</v>
      </c>
      <c r="C46" t="s">
        <v>12</v>
      </c>
      <c r="D46" t="s">
        <v>13</v>
      </c>
      <c r="E46">
        <v>2009</v>
      </c>
      <c r="F46" s="7">
        <f t="shared" si="0"/>
        <v>39814</v>
      </c>
      <c r="G46" t="s">
        <v>90</v>
      </c>
      <c r="H46">
        <f t="shared" si="1"/>
        <v>35</v>
      </c>
    </row>
    <row r="47" spans="1:8" x14ac:dyDescent="0.25">
      <c r="A47" t="s">
        <v>92</v>
      </c>
      <c r="B47" t="s">
        <v>93</v>
      </c>
      <c r="C47" t="s">
        <v>12</v>
      </c>
      <c r="D47" t="s">
        <v>13</v>
      </c>
      <c r="E47">
        <v>2018</v>
      </c>
      <c r="F47" s="7">
        <f t="shared" si="0"/>
        <v>43101</v>
      </c>
      <c r="G47" t="s">
        <v>94</v>
      </c>
      <c r="H47">
        <f t="shared" si="1"/>
        <v>32</v>
      </c>
    </row>
    <row r="48" spans="1:8" x14ac:dyDescent="0.25">
      <c r="A48" t="s">
        <v>30</v>
      </c>
      <c r="B48" t="s">
        <v>95</v>
      </c>
      <c r="C48" t="s">
        <v>12</v>
      </c>
      <c r="D48" t="s">
        <v>13</v>
      </c>
      <c r="E48">
        <v>2019</v>
      </c>
      <c r="F48" s="7">
        <f t="shared" si="0"/>
        <v>43466</v>
      </c>
      <c r="G48" t="s">
        <v>96</v>
      </c>
      <c r="H48">
        <f t="shared" si="1"/>
        <v>30.3</v>
      </c>
    </row>
    <row r="49" spans="1:8" x14ac:dyDescent="0.25">
      <c r="A49" t="s">
        <v>30</v>
      </c>
      <c r="B49" t="s">
        <v>97</v>
      </c>
      <c r="C49" t="s">
        <v>98</v>
      </c>
      <c r="D49" t="s">
        <v>7</v>
      </c>
      <c r="E49">
        <v>2006</v>
      </c>
      <c r="F49" s="7">
        <f t="shared" si="0"/>
        <v>38718</v>
      </c>
      <c r="G49" t="s">
        <v>99</v>
      </c>
      <c r="H49">
        <f t="shared" si="1"/>
        <v>30</v>
      </c>
    </row>
    <row r="50" spans="1:8" x14ac:dyDescent="0.25">
      <c r="A50" t="s">
        <v>100</v>
      </c>
      <c r="B50" t="s">
        <v>101</v>
      </c>
      <c r="C50" t="s">
        <v>6</v>
      </c>
      <c r="D50" t="s">
        <v>7</v>
      </c>
      <c r="E50">
        <v>2008</v>
      </c>
      <c r="F50" s="7">
        <f t="shared" si="0"/>
        <v>39448</v>
      </c>
      <c r="G50" t="s">
        <v>102</v>
      </c>
      <c r="H50">
        <f t="shared" si="1"/>
        <v>30</v>
      </c>
    </row>
    <row r="51" spans="1:8" x14ac:dyDescent="0.25">
      <c r="A51" t="s">
        <v>30</v>
      </c>
      <c r="B51" t="s">
        <v>103</v>
      </c>
      <c r="C51" t="s">
        <v>12</v>
      </c>
      <c r="D51" t="s">
        <v>13</v>
      </c>
      <c r="E51">
        <v>2012</v>
      </c>
      <c r="F51" s="7">
        <f t="shared" si="0"/>
        <v>40909</v>
      </c>
      <c r="G51" t="s">
        <v>104</v>
      </c>
      <c r="H51">
        <f t="shared" si="1"/>
        <v>30</v>
      </c>
    </row>
    <row r="52" spans="1:8" x14ac:dyDescent="0.25">
      <c r="A52" t="s">
        <v>5</v>
      </c>
      <c r="B52" t="s">
        <v>105</v>
      </c>
      <c r="C52" t="s">
        <v>98</v>
      </c>
      <c r="D52" t="s">
        <v>7</v>
      </c>
      <c r="E52">
        <v>2006</v>
      </c>
      <c r="F52" s="7">
        <f t="shared" si="0"/>
        <v>38718</v>
      </c>
      <c r="G52" t="s">
        <v>106</v>
      </c>
      <c r="H52">
        <f t="shared" si="1"/>
        <v>30</v>
      </c>
    </row>
    <row r="53" spans="1:8" x14ac:dyDescent="0.25">
      <c r="A53" t="s">
        <v>107</v>
      </c>
      <c r="B53" t="s">
        <v>108</v>
      </c>
      <c r="C53" t="s">
        <v>12</v>
      </c>
      <c r="D53" t="s">
        <v>13</v>
      </c>
      <c r="E53">
        <v>2019</v>
      </c>
      <c r="F53" s="7">
        <f t="shared" si="0"/>
        <v>43466</v>
      </c>
      <c r="G53" t="s">
        <v>109</v>
      </c>
      <c r="H53">
        <f t="shared" si="1"/>
        <v>30</v>
      </c>
    </row>
    <row r="54" spans="1:8" x14ac:dyDescent="0.25">
      <c r="A54" t="s">
        <v>10</v>
      </c>
      <c r="B54" t="s">
        <v>110</v>
      </c>
      <c r="C54" t="s">
        <v>12</v>
      </c>
      <c r="D54" t="s">
        <v>13</v>
      </c>
      <c r="E54">
        <v>2020</v>
      </c>
      <c r="F54" s="7">
        <f t="shared" si="0"/>
        <v>43831</v>
      </c>
      <c r="G54" t="s">
        <v>111</v>
      </c>
      <c r="H54">
        <f t="shared" si="1"/>
        <v>29</v>
      </c>
    </row>
    <row r="55" spans="1:8" x14ac:dyDescent="0.25">
      <c r="A55" t="s">
        <v>30</v>
      </c>
      <c r="B55" t="s">
        <v>112</v>
      </c>
      <c r="C55" t="s">
        <v>12</v>
      </c>
      <c r="D55" t="s">
        <v>13</v>
      </c>
      <c r="E55">
        <v>2020</v>
      </c>
      <c r="F55" s="7">
        <f t="shared" si="0"/>
        <v>43831</v>
      </c>
      <c r="G55" t="s">
        <v>113</v>
      </c>
      <c r="H55">
        <f t="shared" si="1"/>
        <v>28</v>
      </c>
    </row>
    <row r="56" spans="1:8" x14ac:dyDescent="0.25">
      <c r="A56" t="s">
        <v>30</v>
      </c>
      <c r="B56" t="s">
        <v>114</v>
      </c>
      <c r="C56" t="s">
        <v>12</v>
      </c>
      <c r="D56" t="s">
        <v>13</v>
      </c>
      <c r="E56">
        <v>2010</v>
      </c>
      <c r="F56" s="7">
        <f t="shared" si="0"/>
        <v>40179</v>
      </c>
      <c r="G56" t="s">
        <v>115</v>
      </c>
      <c r="H56">
        <f t="shared" si="1"/>
        <v>25</v>
      </c>
    </row>
    <row r="57" spans="1:8" x14ac:dyDescent="0.25">
      <c r="A57" t="s">
        <v>30</v>
      </c>
      <c r="B57" t="s">
        <v>116</v>
      </c>
      <c r="C57" t="s">
        <v>12</v>
      </c>
      <c r="D57" t="s">
        <v>13</v>
      </c>
      <c r="E57">
        <v>2016</v>
      </c>
      <c r="F57" s="7">
        <f t="shared" si="0"/>
        <v>42370</v>
      </c>
      <c r="G57" t="s">
        <v>117</v>
      </c>
      <c r="H57">
        <f t="shared" si="1"/>
        <v>24.2</v>
      </c>
    </row>
    <row r="58" spans="1:8" x14ac:dyDescent="0.25">
      <c r="A58" t="s">
        <v>30</v>
      </c>
      <c r="B58" t="s">
        <v>118</v>
      </c>
      <c r="C58" t="s">
        <v>12</v>
      </c>
      <c r="D58" t="s">
        <v>13</v>
      </c>
      <c r="E58">
        <v>2019</v>
      </c>
      <c r="F58" s="7">
        <f t="shared" si="0"/>
        <v>43466</v>
      </c>
      <c r="G58" t="s">
        <v>117</v>
      </c>
      <c r="H58">
        <f t="shared" si="1"/>
        <v>24.2</v>
      </c>
    </row>
    <row r="59" spans="1:8" x14ac:dyDescent="0.25">
      <c r="A59" t="s">
        <v>10</v>
      </c>
      <c r="B59" t="s">
        <v>119</v>
      </c>
      <c r="C59" t="s">
        <v>12</v>
      </c>
      <c r="D59" t="s">
        <v>13</v>
      </c>
      <c r="E59">
        <v>2020</v>
      </c>
      <c r="F59" s="7">
        <f t="shared" si="0"/>
        <v>43831</v>
      </c>
      <c r="G59" t="s">
        <v>120</v>
      </c>
      <c r="H59">
        <f t="shared" si="1"/>
        <v>24.2</v>
      </c>
    </row>
    <row r="60" spans="1:8" x14ac:dyDescent="0.25">
      <c r="A60" t="s">
        <v>30</v>
      </c>
      <c r="B60" t="s">
        <v>121</v>
      </c>
      <c r="C60" t="s">
        <v>12</v>
      </c>
      <c r="D60" t="s">
        <v>13</v>
      </c>
      <c r="E60">
        <v>2019</v>
      </c>
      <c r="F60" s="7">
        <f t="shared" si="0"/>
        <v>43466</v>
      </c>
      <c r="G60" t="s">
        <v>122</v>
      </c>
      <c r="H60">
        <f t="shared" si="1"/>
        <v>23.2</v>
      </c>
    </row>
    <row r="61" spans="1:8" x14ac:dyDescent="0.25">
      <c r="A61" t="s">
        <v>30</v>
      </c>
      <c r="B61" t="s">
        <v>123</v>
      </c>
      <c r="C61" t="s">
        <v>12</v>
      </c>
      <c r="D61" t="s">
        <v>13</v>
      </c>
      <c r="E61">
        <v>2019</v>
      </c>
      <c r="F61" s="7">
        <f t="shared" si="0"/>
        <v>43466</v>
      </c>
      <c r="G61" t="s">
        <v>124</v>
      </c>
      <c r="H61">
        <f t="shared" si="1"/>
        <v>23.1</v>
      </c>
    </row>
    <row r="62" spans="1:8" x14ac:dyDescent="0.25">
      <c r="A62" t="s">
        <v>100</v>
      </c>
      <c r="B62" t="s">
        <v>125</v>
      </c>
      <c r="C62" t="s">
        <v>98</v>
      </c>
      <c r="D62" t="s">
        <v>7</v>
      </c>
      <c r="E62">
        <v>2006</v>
      </c>
      <c r="F62" s="7">
        <f t="shared" si="0"/>
        <v>38718</v>
      </c>
      <c r="G62" t="s">
        <v>126</v>
      </c>
      <c r="H62">
        <f t="shared" si="1"/>
        <v>21</v>
      </c>
    </row>
    <row r="63" spans="1:8" x14ac:dyDescent="0.25">
      <c r="A63" t="s">
        <v>5</v>
      </c>
      <c r="B63">
        <v>2100</v>
      </c>
      <c r="C63" t="s">
        <v>6</v>
      </c>
      <c r="D63" t="s">
        <v>7</v>
      </c>
      <c r="E63">
        <v>2003</v>
      </c>
      <c r="F63" s="7">
        <f t="shared" si="0"/>
        <v>37622</v>
      </c>
      <c r="G63" t="s">
        <v>127</v>
      </c>
      <c r="H63">
        <f t="shared" si="1"/>
        <v>20</v>
      </c>
    </row>
    <row r="64" spans="1:8" x14ac:dyDescent="0.25">
      <c r="A64" t="s">
        <v>107</v>
      </c>
      <c r="B64" t="s">
        <v>128</v>
      </c>
      <c r="C64" t="s">
        <v>12</v>
      </c>
      <c r="D64" t="s">
        <v>13</v>
      </c>
      <c r="E64">
        <v>2019</v>
      </c>
      <c r="F64" s="7">
        <f t="shared" si="0"/>
        <v>43466</v>
      </c>
      <c r="G64" t="s">
        <v>129</v>
      </c>
      <c r="H64">
        <f t="shared" si="1"/>
        <v>20</v>
      </c>
    </row>
    <row r="65" spans="1:8" x14ac:dyDescent="0.25">
      <c r="A65" t="s">
        <v>92</v>
      </c>
      <c r="B65" t="s">
        <v>130</v>
      </c>
      <c r="C65" t="s">
        <v>12</v>
      </c>
      <c r="D65" t="s">
        <v>13</v>
      </c>
      <c r="E65">
        <v>2019</v>
      </c>
      <c r="F65" s="7">
        <f t="shared" si="0"/>
        <v>43466</v>
      </c>
      <c r="G65" t="s">
        <v>131</v>
      </c>
      <c r="H65">
        <f t="shared" si="1"/>
        <v>20</v>
      </c>
    </row>
    <row r="66" spans="1:8" x14ac:dyDescent="0.25">
      <c r="A66" t="s">
        <v>30</v>
      </c>
      <c r="B66" t="s">
        <v>132</v>
      </c>
      <c r="C66" t="s">
        <v>12</v>
      </c>
      <c r="D66" t="s">
        <v>13</v>
      </c>
      <c r="E66">
        <v>2020</v>
      </c>
      <c r="F66" s="7">
        <f t="shared" si="0"/>
        <v>43831</v>
      </c>
      <c r="G66" t="s">
        <v>133</v>
      </c>
      <c r="H66">
        <f t="shared" si="1"/>
        <v>19.399999999999999</v>
      </c>
    </row>
    <row r="67" spans="1:8" x14ac:dyDescent="0.25">
      <c r="A67" t="s">
        <v>30</v>
      </c>
      <c r="B67" t="s">
        <v>134</v>
      </c>
      <c r="C67" t="s">
        <v>12</v>
      </c>
      <c r="D67" t="s">
        <v>13</v>
      </c>
      <c r="E67">
        <v>2021</v>
      </c>
      <c r="F67" s="7">
        <f t="shared" ref="F67:F124" si="2">DATE(E67, 1, 1)</f>
        <v>44197</v>
      </c>
      <c r="G67">
        <v>18.3</v>
      </c>
      <c r="H67">
        <f t="shared" ref="H67:H124" si="3">IFERROR(VALUE(LEFT(G67, FIND("[", G67)-1)), VALUE(G67))</f>
        <v>18.3</v>
      </c>
    </row>
    <row r="68" spans="1:8" x14ac:dyDescent="0.25">
      <c r="A68" t="s">
        <v>92</v>
      </c>
      <c r="B68" t="s">
        <v>135</v>
      </c>
      <c r="C68" t="s">
        <v>12</v>
      </c>
      <c r="D68" t="s">
        <v>13</v>
      </c>
      <c r="E68">
        <v>2017</v>
      </c>
      <c r="F68" s="7">
        <f t="shared" si="2"/>
        <v>42736</v>
      </c>
      <c r="G68" t="s">
        <v>136</v>
      </c>
      <c r="H68">
        <f t="shared" si="3"/>
        <v>17</v>
      </c>
    </row>
    <row r="69" spans="1:8" x14ac:dyDescent="0.25">
      <c r="A69" t="s">
        <v>92</v>
      </c>
      <c r="B69" t="s">
        <v>137</v>
      </c>
      <c r="C69" t="s">
        <v>12</v>
      </c>
      <c r="D69" t="s">
        <v>13</v>
      </c>
      <c r="E69">
        <v>2018</v>
      </c>
      <c r="F69" s="7">
        <f t="shared" si="2"/>
        <v>43101</v>
      </c>
      <c r="G69" t="s">
        <v>138</v>
      </c>
      <c r="H69">
        <f t="shared" si="3"/>
        <v>17</v>
      </c>
    </row>
    <row r="70" spans="1:8" x14ac:dyDescent="0.25">
      <c r="A70" t="s">
        <v>30</v>
      </c>
      <c r="B70" t="s">
        <v>139</v>
      </c>
      <c r="C70" t="s">
        <v>12</v>
      </c>
      <c r="D70" t="s">
        <v>13</v>
      </c>
      <c r="E70">
        <v>2019</v>
      </c>
      <c r="F70" s="7">
        <f t="shared" si="2"/>
        <v>43466</v>
      </c>
      <c r="G70" t="s">
        <v>140</v>
      </c>
      <c r="H70">
        <f t="shared" si="3"/>
        <v>16.899999999999999</v>
      </c>
    </row>
    <row r="71" spans="1:8" x14ac:dyDescent="0.25">
      <c r="A71" t="s">
        <v>141</v>
      </c>
      <c r="B71" t="s">
        <v>142</v>
      </c>
      <c r="C71" t="s">
        <v>12</v>
      </c>
      <c r="D71" t="s">
        <v>13</v>
      </c>
      <c r="E71">
        <v>2011</v>
      </c>
      <c r="F71" s="7">
        <f t="shared" si="2"/>
        <v>40544</v>
      </c>
      <c r="G71" t="s">
        <v>143</v>
      </c>
      <c r="H71">
        <f t="shared" si="3"/>
        <v>16</v>
      </c>
    </row>
    <row r="72" spans="1:8" x14ac:dyDescent="0.25">
      <c r="A72" t="s">
        <v>92</v>
      </c>
      <c r="B72" t="s">
        <v>144</v>
      </c>
      <c r="C72" t="s">
        <v>12</v>
      </c>
      <c r="D72" t="s">
        <v>13</v>
      </c>
      <c r="E72">
        <v>2016</v>
      </c>
      <c r="F72" s="7">
        <f t="shared" si="2"/>
        <v>42370</v>
      </c>
      <c r="G72" t="s">
        <v>145</v>
      </c>
      <c r="H72">
        <f t="shared" si="3"/>
        <v>15.8</v>
      </c>
    </row>
    <row r="73" spans="1:8" x14ac:dyDescent="0.25">
      <c r="A73" t="s">
        <v>30</v>
      </c>
      <c r="B73" t="s">
        <v>146</v>
      </c>
      <c r="C73" t="s">
        <v>12</v>
      </c>
      <c r="D73" t="s">
        <v>13</v>
      </c>
      <c r="E73">
        <v>2020</v>
      </c>
      <c r="F73" s="7">
        <f t="shared" si="2"/>
        <v>43831</v>
      </c>
      <c r="G73" t="s">
        <v>147</v>
      </c>
      <c r="H73">
        <f t="shared" si="3"/>
        <v>15.3</v>
      </c>
    </row>
    <row r="74" spans="1:8" x14ac:dyDescent="0.25">
      <c r="A74" t="s">
        <v>30</v>
      </c>
      <c r="B74" t="s">
        <v>148</v>
      </c>
      <c r="C74" t="s">
        <v>12</v>
      </c>
      <c r="D74" t="s">
        <v>13</v>
      </c>
      <c r="E74">
        <v>2018</v>
      </c>
      <c r="F74" s="7">
        <f t="shared" si="2"/>
        <v>43101</v>
      </c>
      <c r="G74" t="s">
        <v>149</v>
      </c>
      <c r="H74">
        <f t="shared" si="3"/>
        <v>15.2</v>
      </c>
    </row>
    <row r="75" spans="1:8" x14ac:dyDescent="0.25">
      <c r="A75" t="s">
        <v>5</v>
      </c>
      <c r="B75" t="s">
        <v>150</v>
      </c>
      <c r="C75" t="s">
        <v>98</v>
      </c>
      <c r="D75" t="s">
        <v>7</v>
      </c>
      <c r="E75">
        <v>2007</v>
      </c>
      <c r="F75" s="7">
        <f t="shared" si="2"/>
        <v>39083</v>
      </c>
      <c r="G75" t="s">
        <v>151</v>
      </c>
      <c r="H75">
        <f t="shared" si="3"/>
        <v>15</v>
      </c>
    </row>
    <row r="76" spans="1:8" x14ac:dyDescent="0.25">
      <c r="A76" t="s">
        <v>5</v>
      </c>
      <c r="B76" t="s">
        <v>152</v>
      </c>
      <c r="C76" t="s">
        <v>12</v>
      </c>
      <c r="D76" t="s">
        <v>13</v>
      </c>
      <c r="E76">
        <v>2008</v>
      </c>
      <c r="F76" s="7">
        <f t="shared" si="2"/>
        <v>39448</v>
      </c>
      <c r="G76" t="s">
        <v>151</v>
      </c>
      <c r="H76">
        <f t="shared" si="3"/>
        <v>15</v>
      </c>
    </row>
    <row r="77" spans="1:8" x14ac:dyDescent="0.25">
      <c r="A77" t="s">
        <v>5</v>
      </c>
      <c r="B77" t="s">
        <v>153</v>
      </c>
      <c r="C77" t="s">
        <v>154</v>
      </c>
      <c r="D77" t="s">
        <v>13</v>
      </c>
      <c r="E77">
        <v>2008</v>
      </c>
      <c r="F77" s="7">
        <f t="shared" si="2"/>
        <v>39448</v>
      </c>
      <c r="G77" t="s">
        <v>151</v>
      </c>
      <c r="H77">
        <f t="shared" si="3"/>
        <v>15</v>
      </c>
    </row>
    <row r="78" spans="1:8" x14ac:dyDescent="0.25">
      <c r="A78" t="s">
        <v>155</v>
      </c>
      <c r="B78" t="s">
        <v>156</v>
      </c>
      <c r="C78" t="s">
        <v>6</v>
      </c>
      <c r="D78" t="s">
        <v>7</v>
      </c>
      <c r="E78">
        <v>2004</v>
      </c>
      <c r="F78" s="7">
        <f t="shared" si="2"/>
        <v>37987</v>
      </c>
      <c r="G78" t="s">
        <v>157</v>
      </c>
      <c r="H78">
        <f t="shared" si="3"/>
        <v>15</v>
      </c>
    </row>
    <row r="79" spans="1:8" x14ac:dyDescent="0.25">
      <c r="A79" t="s">
        <v>155</v>
      </c>
      <c r="B79" t="s">
        <v>158</v>
      </c>
      <c r="C79" t="s">
        <v>6</v>
      </c>
      <c r="D79" t="s">
        <v>7</v>
      </c>
      <c r="E79">
        <v>2005</v>
      </c>
      <c r="F79" s="7">
        <f t="shared" si="2"/>
        <v>38353</v>
      </c>
      <c r="G79" t="s">
        <v>159</v>
      </c>
      <c r="H79">
        <f t="shared" si="3"/>
        <v>15</v>
      </c>
    </row>
    <row r="80" spans="1:8" x14ac:dyDescent="0.25">
      <c r="A80" t="s">
        <v>155</v>
      </c>
      <c r="B80" t="s">
        <v>160</v>
      </c>
      <c r="C80" t="s">
        <v>6</v>
      </c>
      <c r="D80" t="s">
        <v>7</v>
      </c>
      <c r="E80">
        <v>2006</v>
      </c>
      <c r="F80" s="7">
        <f t="shared" si="2"/>
        <v>38718</v>
      </c>
      <c r="G80" t="s">
        <v>157</v>
      </c>
      <c r="H80">
        <f t="shared" si="3"/>
        <v>15</v>
      </c>
    </row>
    <row r="81" spans="1:8" x14ac:dyDescent="0.25">
      <c r="A81" t="s">
        <v>161</v>
      </c>
      <c r="B81" t="s">
        <v>162</v>
      </c>
      <c r="C81" t="s">
        <v>6</v>
      </c>
      <c r="D81" t="s">
        <v>13</v>
      </c>
      <c r="E81">
        <v>2006</v>
      </c>
      <c r="F81" s="7">
        <f t="shared" si="2"/>
        <v>38718</v>
      </c>
      <c r="G81" t="s">
        <v>159</v>
      </c>
      <c r="H81">
        <f t="shared" si="3"/>
        <v>15</v>
      </c>
    </row>
    <row r="82" spans="1:8" x14ac:dyDescent="0.25">
      <c r="A82" t="s">
        <v>107</v>
      </c>
      <c r="B82" t="s">
        <v>163</v>
      </c>
      <c r="C82" t="s">
        <v>12</v>
      </c>
      <c r="D82" t="s">
        <v>13</v>
      </c>
      <c r="E82">
        <v>2020</v>
      </c>
      <c r="F82" s="7">
        <f t="shared" si="2"/>
        <v>43831</v>
      </c>
      <c r="G82" t="s">
        <v>164</v>
      </c>
      <c r="H82">
        <f t="shared" si="3"/>
        <v>15</v>
      </c>
    </row>
    <row r="83" spans="1:8" x14ac:dyDescent="0.25">
      <c r="A83" t="s">
        <v>30</v>
      </c>
      <c r="B83" t="s">
        <v>165</v>
      </c>
      <c r="C83" t="s">
        <v>12</v>
      </c>
      <c r="D83" t="s">
        <v>13</v>
      </c>
      <c r="E83">
        <v>2021</v>
      </c>
      <c r="F83" s="7">
        <f t="shared" si="2"/>
        <v>44197</v>
      </c>
      <c r="G83" t="s">
        <v>166</v>
      </c>
      <c r="H83">
        <f t="shared" si="3"/>
        <v>13.5</v>
      </c>
    </row>
    <row r="84" spans="1:8" x14ac:dyDescent="0.25">
      <c r="A84" t="s">
        <v>37</v>
      </c>
      <c r="B84" t="s">
        <v>167</v>
      </c>
      <c r="C84" t="s">
        <v>12</v>
      </c>
      <c r="D84" t="s">
        <v>13</v>
      </c>
      <c r="E84">
        <v>2011</v>
      </c>
      <c r="F84" s="7">
        <f t="shared" si="2"/>
        <v>40544</v>
      </c>
      <c r="G84" t="s">
        <v>168</v>
      </c>
      <c r="H84">
        <f t="shared" si="3"/>
        <v>13</v>
      </c>
    </row>
    <row r="85" spans="1:8" x14ac:dyDescent="0.25">
      <c r="A85" t="s">
        <v>100</v>
      </c>
      <c r="B85" t="s">
        <v>169</v>
      </c>
      <c r="C85" t="s">
        <v>12</v>
      </c>
      <c r="D85" t="s">
        <v>7</v>
      </c>
      <c r="E85">
        <v>2009</v>
      </c>
      <c r="F85" s="7">
        <f t="shared" si="2"/>
        <v>39814</v>
      </c>
      <c r="G85" t="s">
        <v>170</v>
      </c>
      <c r="H85">
        <f t="shared" si="3"/>
        <v>13</v>
      </c>
    </row>
    <row r="86" spans="1:8" x14ac:dyDescent="0.25">
      <c r="A86" t="s">
        <v>92</v>
      </c>
      <c r="B86" t="s">
        <v>171</v>
      </c>
      <c r="C86" t="s">
        <v>12</v>
      </c>
      <c r="D86" t="s">
        <v>13</v>
      </c>
      <c r="E86">
        <v>2019</v>
      </c>
      <c r="F86" s="7">
        <f t="shared" si="2"/>
        <v>43466</v>
      </c>
      <c r="G86" t="s">
        <v>172</v>
      </c>
      <c r="H86">
        <f t="shared" si="3"/>
        <v>12</v>
      </c>
    </row>
    <row r="87" spans="1:8" x14ac:dyDescent="0.25">
      <c r="A87" t="s">
        <v>30</v>
      </c>
      <c r="B87" t="s">
        <v>173</v>
      </c>
      <c r="C87" t="s">
        <v>12</v>
      </c>
      <c r="D87" t="s">
        <v>13</v>
      </c>
      <c r="E87">
        <v>2022</v>
      </c>
      <c r="F87" s="7">
        <f t="shared" si="2"/>
        <v>44562</v>
      </c>
      <c r="G87" t="s">
        <v>174</v>
      </c>
      <c r="H87">
        <f t="shared" si="3"/>
        <v>10.9</v>
      </c>
    </row>
    <row r="88" spans="1:8" x14ac:dyDescent="0.25">
      <c r="A88" t="s">
        <v>30</v>
      </c>
      <c r="B88" t="s">
        <v>175</v>
      </c>
      <c r="C88" t="s">
        <v>39</v>
      </c>
      <c r="D88" t="s">
        <v>7</v>
      </c>
      <c r="E88">
        <v>2003</v>
      </c>
      <c r="F88" s="7">
        <f t="shared" si="2"/>
        <v>37622</v>
      </c>
      <c r="G88" t="s">
        <v>176</v>
      </c>
      <c r="H88">
        <f t="shared" si="3"/>
        <v>10</v>
      </c>
    </row>
    <row r="89" spans="1:8" x14ac:dyDescent="0.25">
      <c r="A89" t="s">
        <v>5</v>
      </c>
      <c r="B89" t="s">
        <v>177</v>
      </c>
      <c r="C89" t="s">
        <v>98</v>
      </c>
      <c r="D89" t="s">
        <v>13</v>
      </c>
      <c r="E89">
        <v>2007</v>
      </c>
      <c r="F89" s="7">
        <f t="shared" si="2"/>
        <v>39083</v>
      </c>
      <c r="G89" t="s">
        <v>178</v>
      </c>
      <c r="H89">
        <f t="shared" si="3"/>
        <v>10</v>
      </c>
    </row>
    <row r="90" spans="1:8" x14ac:dyDescent="0.25">
      <c r="A90" t="s">
        <v>100</v>
      </c>
      <c r="B90" t="s">
        <v>179</v>
      </c>
      <c r="C90" t="s">
        <v>98</v>
      </c>
      <c r="D90" t="s">
        <v>7</v>
      </c>
      <c r="E90">
        <v>2008</v>
      </c>
      <c r="F90" s="7">
        <f t="shared" si="2"/>
        <v>39448</v>
      </c>
      <c r="G90" t="s">
        <v>180</v>
      </c>
      <c r="H90">
        <f t="shared" si="3"/>
        <v>10</v>
      </c>
    </row>
    <row r="91" spans="1:8" x14ac:dyDescent="0.25">
      <c r="A91" t="s">
        <v>30</v>
      </c>
      <c r="B91" t="s">
        <v>181</v>
      </c>
      <c r="C91" t="s">
        <v>12</v>
      </c>
      <c r="D91" t="s">
        <v>7</v>
      </c>
      <c r="E91">
        <v>2009</v>
      </c>
      <c r="F91" s="7">
        <f t="shared" si="2"/>
        <v>39814</v>
      </c>
      <c r="G91" t="s">
        <v>182</v>
      </c>
      <c r="H91">
        <f t="shared" si="3"/>
        <v>10</v>
      </c>
    </row>
    <row r="92" spans="1:8" x14ac:dyDescent="0.25">
      <c r="A92" t="s">
        <v>30</v>
      </c>
      <c r="B92" t="s">
        <v>183</v>
      </c>
      <c r="C92" t="s">
        <v>12</v>
      </c>
      <c r="D92" t="s">
        <v>13</v>
      </c>
      <c r="E92">
        <v>2011</v>
      </c>
      <c r="F92" s="7">
        <f t="shared" si="2"/>
        <v>40544</v>
      </c>
      <c r="G92" t="s">
        <v>184</v>
      </c>
      <c r="H92">
        <f t="shared" si="3"/>
        <v>10</v>
      </c>
    </row>
    <row r="93" spans="1:8" x14ac:dyDescent="0.25">
      <c r="A93" t="s">
        <v>107</v>
      </c>
      <c r="B93" t="s">
        <v>185</v>
      </c>
      <c r="C93" t="s">
        <v>12</v>
      </c>
      <c r="D93" t="s">
        <v>13</v>
      </c>
      <c r="E93">
        <v>2012</v>
      </c>
      <c r="F93" s="7">
        <f t="shared" si="2"/>
        <v>40909</v>
      </c>
      <c r="G93" t="s">
        <v>186</v>
      </c>
      <c r="H93">
        <f t="shared" si="3"/>
        <v>10</v>
      </c>
    </row>
    <row r="94" spans="1:8" x14ac:dyDescent="0.25">
      <c r="A94" t="s">
        <v>30</v>
      </c>
      <c r="B94" t="s">
        <v>187</v>
      </c>
      <c r="C94" t="s">
        <v>12</v>
      </c>
      <c r="D94" t="s">
        <v>13</v>
      </c>
      <c r="E94">
        <v>2013</v>
      </c>
      <c r="F94" s="7">
        <f t="shared" si="2"/>
        <v>41275</v>
      </c>
      <c r="G94" t="s">
        <v>188</v>
      </c>
      <c r="H94">
        <f t="shared" si="3"/>
        <v>10</v>
      </c>
    </row>
    <row r="95" spans="1:8" x14ac:dyDescent="0.25">
      <c r="A95" t="s">
        <v>100</v>
      </c>
      <c r="B95" t="s">
        <v>189</v>
      </c>
      <c r="C95" t="s">
        <v>12</v>
      </c>
      <c r="D95" t="s">
        <v>13</v>
      </c>
      <c r="E95">
        <v>2014</v>
      </c>
      <c r="F95" s="7">
        <f t="shared" si="2"/>
        <v>41640</v>
      </c>
      <c r="G95" t="s">
        <v>190</v>
      </c>
      <c r="H95">
        <f t="shared" si="3"/>
        <v>10</v>
      </c>
    </row>
    <row r="96" spans="1:8" x14ac:dyDescent="0.25">
      <c r="A96" t="s">
        <v>30</v>
      </c>
      <c r="B96" t="s">
        <v>191</v>
      </c>
      <c r="C96" t="s">
        <v>12</v>
      </c>
      <c r="D96" t="s">
        <v>13</v>
      </c>
      <c r="E96">
        <v>2017</v>
      </c>
      <c r="F96" s="7">
        <f t="shared" si="2"/>
        <v>42736</v>
      </c>
      <c r="G96" t="s">
        <v>192</v>
      </c>
      <c r="H96">
        <f t="shared" si="3"/>
        <v>10</v>
      </c>
    </row>
    <row r="97" spans="1:8" x14ac:dyDescent="0.25">
      <c r="A97" t="s">
        <v>107</v>
      </c>
      <c r="B97" t="s">
        <v>193</v>
      </c>
      <c r="C97" t="s">
        <v>12</v>
      </c>
      <c r="D97" t="s">
        <v>13</v>
      </c>
      <c r="E97">
        <v>2019</v>
      </c>
      <c r="F97" s="7">
        <f t="shared" si="2"/>
        <v>43466</v>
      </c>
      <c r="G97" t="s">
        <v>194</v>
      </c>
      <c r="H97">
        <f t="shared" si="3"/>
        <v>10</v>
      </c>
    </row>
    <row r="98" spans="1:8" x14ac:dyDescent="0.25">
      <c r="A98" t="s">
        <v>30</v>
      </c>
      <c r="B98" t="s">
        <v>195</v>
      </c>
      <c r="C98" t="s">
        <v>12</v>
      </c>
      <c r="D98" t="s">
        <v>13</v>
      </c>
      <c r="E98">
        <v>2020</v>
      </c>
      <c r="F98" s="7">
        <f t="shared" si="2"/>
        <v>43831</v>
      </c>
      <c r="G98" t="s">
        <v>196</v>
      </c>
      <c r="H98">
        <f t="shared" si="3"/>
        <v>10</v>
      </c>
    </row>
    <row r="99" spans="1:8" x14ac:dyDescent="0.25">
      <c r="A99" t="s">
        <v>197</v>
      </c>
      <c r="B99" t="s">
        <v>198</v>
      </c>
      <c r="C99" t="s">
        <v>12</v>
      </c>
      <c r="D99" t="s">
        <v>13</v>
      </c>
      <c r="E99">
        <v>2018</v>
      </c>
      <c r="F99" s="7">
        <f t="shared" si="2"/>
        <v>43101</v>
      </c>
      <c r="G99" t="s">
        <v>199</v>
      </c>
      <c r="H99">
        <f t="shared" si="3"/>
        <v>9.6999999999999993</v>
      </c>
    </row>
    <row r="100" spans="1:8" x14ac:dyDescent="0.25">
      <c r="A100" t="s">
        <v>30</v>
      </c>
      <c r="B100" t="s">
        <v>200</v>
      </c>
      <c r="C100" t="s">
        <v>12</v>
      </c>
      <c r="D100" t="s">
        <v>13</v>
      </c>
      <c r="E100">
        <v>2018</v>
      </c>
      <c r="F100" s="7">
        <f t="shared" si="2"/>
        <v>43101</v>
      </c>
      <c r="G100" t="s">
        <v>201</v>
      </c>
      <c r="H100">
        <f t="shared" si="3"/>
        <v>9.6</v>
      </c>
    </row>
    <row r="101" spans="1:8" x14ac:dyDescent="0.25">
      <c r="A101" t="s">
        <v>30</v>
      </c>
      <c r="B101" t="s">
        <v>202</v>
      </c>
      <c r="C101" t="s">
        <v>12</v>
      </c>
      <c r="D101" t="s">
        <v>13</v>
      </c>
      <c r="E101">
        <v>2019</v>
      </c>
      <c r="F101" s="7">
        <f t="shared" si="2"/>
        <v>43466</v>
      </c>
      <c r="G101" t="s">
        <v>203</v>
      </c>
      <c r="H101">
        <f t="shared" si="3"/>
        <v>9.1999999999999993</v>
      </c>
    </row>
    <row r="102" spans="1:8" x14ac:dyDescent="0.25">
      <c r="A102" t="s">
        <v>107</v>
      </c>
      <c r="B102" t="s">
        <v>204</v>
      </c>
      <c r="C102" t="s">
        <v>12</v>
      </c>
      <c r="D102" t="s">
        <v>13</v>
      </c>
      <c r="E102">
        <v>2019</v>
      </c>
      <c r="F102" s="7">
        <f t="shared" si="2"/>
        <v>43466</v>
      </c>
      <c r="G102" t="s">
        <v>205</v>
      </c>
      <c r="H102">
        <f t="shared" si="3"/>
        <v>7.3</v>
      </c>
    </row>
    <row r="103" spans="1:8" x14ac:dyDescent="0.25">
      <c r="A103" t="s">
        <v>197</v>
      </c>
      <c r="B103" t="s">
        <v>206</v>
      </c>
      <c r="C103" t="s">
        <v>12</v>
      </c>
      <c r="D103" t="s">
        <v>13</v>
      </c>
      <c r="E103">
        <v>2016</v>
      </c>
      <c r="F103" s="7">
        <f t="shared" si="2"/>
        <v>42370</v>
      </c>
      <c r="G103" t="s">
        <v>207</v>
      </c>
      <c r="H103">
        <f t="shared" si="3"/>
        <v>7</v>
      </c>
    </row>
    <row r="104" spans="1:8" x14ac:dyDescent="0.25">
      <c r="A104" t="s">
        <v>107</v>
      </c>
      <c r="B104" t="s">
        <v>208</v>
      </c>
      <c r="C104" t="s">
        <v>12</v>
      </c>
      <c r="D104" t="s">
        <v>13</v>
      </c>
      <c r="E104">
        <v>2019</v>
      </c>
      <c r="F104" s="7">
        <f t="shared" si="2"/>
        <v>43466</v>
      </c>
      <c r="G104" t="s">
        <v>209</v>
      </c>
      <c r="H104">
        <f t="shared" si="3"/>
        <v>6.8</v>
      </c>
    </row>
    <row r="105" spans="1:8" x14ac:dyDescent="0.25">
      <c r="A105" t="s">
        <v>30</v>
      </c>
      <c r="B105" t="s">
        <v>210</v>
      </c>
      <c r="C105" t="s">
        <v>12</v>
      </c>
      <c r="D105" t="s">
        <v>13</v>
      </c>
      <c r="E105">
        <v>2018</v>
      </c>
      <c r="F105" s="7">
        <f t="shared" si="2"/>
        <v>43101</v>
      </c>
      <c r="G105" t="s">
        <v>211</v>
      </c>
      <c r="H105">
        <f t="shared" si="3"/>
        <v>6.4</v>
      </c>
    </row>
    <row r="106" spans="1:8" x14ac:dyDescent="0.25">
      <c r="A106" t="s">
        <v>10</v>
      </c>
      <c r="B106" t="s">
        <v>212</v>
      </c>
      <c r="C106" t="s">
        <v>12</v>
      </c>
      <c r="D106" t="s">
        <v>13</v>
      </c>
      <c r="E106">
        <v>2007</v>
      </c>
      <c r="F106" s="7">
        <f t="shared" si="2"/>
        <v>39083</v>
      </c>
      <c r="G106" t="s">
        <v>213</v>
      </c>
      <c r="H106">
        <f t="shared" si="3"/>
        <v>6</v>
      </c>
    </row>
    <row r="107" spans="1:8" x14ac:dyDescent="0.25">
      <c r="A107" t="s">
        <v>100</v>
      </c>
      <c r="B107" t="s">
        <v>214</v>
      </c>
      <c r="C107" t="s">
        <v>6</v>
      </c>
      <c r="D107" t="s">
        <v>7</v>
      </c>
      <c r="E107">
        <v>2007</v>
      </c>
      <c r="F107" s="7">
        <f t="shared" si="2"/>
        <v>39083</v>
      </c>
      <c r="G107" t="s">
        <v>215</v>
      </c>
      <c r="H107">
        <f t="shared" si="3"/>
        <v>5</v>
      </c>
    </row>
    <row r="108" spans="1:8" x14ac:dyDescent="0.25">
      <c r="A108" t="s">
        <v>30</v>
      </c>
      <c r="B108" t="s">
        <v>216</v>
      </c>
      <c r="C108" t="s">
        <v>12</v>
      </c>
      <c r="D108" t="s">
        <v>13</v>
      </c>
      <c r="E108">
        <v>2018</v>
      </c>
      <c r="F108" s="7">
        <f t="shared" si="2"/>
        <v>43101</v>
      </c>
      <c r="G108" t="s">
        <v>217</v>
      </c>
      <c r="H108">
        <f t="shared" si="3"/>
        <v>4.9000000000000004</v>
      </c>
    </row>
    <row r="109" spans="1:8" x14ac:dyDescent="0.25">
      <c r="A109" t="s">
        <v>30</v>
      </c>
      <c r="B109" t="s">
        <v>218</v>
      </c>
      <c r="C109" t="s">
        <v>12</v>
      </c>
      <c r="D109" t="s">
        <v>13</v>
      </c>
      <c r="E109">
        <v>2024</v>
      </c>
      <c r="F109" s="7">
        <f t="shared" si="2"/>
        <v>45292</v>
      </c>
      <c r="G109">
        <v>4.9000000000000004</v>
      </c>
      <c r="H109">
        <f t="shared" si="3"/>
        <v>4.9000000000000004</v>
      </c>
    </row>
    <row r="110" spans="1:8" x14ac:dyDescent="0.25">
      <c r="A110" t="s">
        <v>30</v>
      </c>
      <c r="B110" t="s">
        <v>219</v>
      </c>
      <c r="C110" t="s">
        <v>12</v>
      </c>
      <c r="D110" t="s">
        <v>13</v>
      </c>
      <c r="E110">
        <v>2014</v>
      </c>
      <c r="F110" s="7">
        <f t="shared" si="2"/>
        <v>41640</v>
      </c>
      <c r="G110" t="s">
        <v>220</v>
      </c>
      <c r="H110">
        <f t="shared" si="3"/>
        <v>4.5</v>
      </c>
    </row>
    <row r="111" spans="1:8" x14ac:dyDescent="0.25">
      <c r="A111" t="s">
        <v>30</v>
      </c>
      <c r="B111" t="s">
        <v>221</v>
      </c>
      <c r="C111" t="s">
        <v>12</v>
      </c>
      <c r="D111" t="s">
        <v>13</v>
      </c>
      <c r="E111">
        <v>2023</v>
      </c>
      <c r="F111" s="7">
        <f t="shared" si="2"/>
        <v>44927</v>
      </c>
      <c r="G111">
        <v>4</v>
      </c>
      <c r="H111">
        <f t="shared" si="3"/>
        <v>4</v>
      </c>
    </row>
    <row r="112" spans="1:8" x14ac:dyDescent="0.25">
      <c r="A112" t="s">
        <v>30</v>
      </c>
      <c r="B112" t="s">
        <v>222</v>
      </c>
      <c r="C112" t="s">
        <v>12</v>
      </c>
      <c r="D112" t="s">
        <v>13</v>
      </c>
      <c r="E112">
        <v>2019</v>
      </c>
      <c r="F112" s="7">
        <f t="shared" si="2"/>
        <v>43466</v>
      </c>
      <c r="G112" t="s">
        <v>223</v>
      </c>
      <c r="H112">
        <f t="shared" si="3"/>
        <v>3.9</v>
      </c>
    </row>
    <row r="113" spans="1:8" x14ac:dyDescent="0.25">
      <c r="A113" t="s">
        <v>30</v>
      </c>
      <c r="B113" t="s">
        <v>224</v>
      </c>
      <c r="C113" t="s">
        <v>12</v>
      </c>
      <c r="D113" t="s">
        <v>13</v>
      </c>
      <c r="E113">
        <v>2023</v>
      </c>
      <c r="F113" s="7">
        <f t="shared" si="2"/>
        <v>44927</v>
      </c>
      <c r="G113">
        <v>3.8</v>
      </c>
      <c r="H113">
        <f t="shared" si="3"/>
        <v>3.8</v>
      </c>
    </row>
    <row r="114" spans="1:8" x14ac:dyDescent="0.25">
      <c r="A114" t="s">
        <v>30</v>
      </c>
      <c r="B114" t="s">
        <v>225</v>
      </c>
      <c r="C114" t="s">
        <v>12</v>
      </c>
      <c r="D114" t="s">
        <v>13</v>
      </c>
      <c r="E114">
        <v>2019</v>
      </c>
      <c r="F114" s="7">
        <f t="shared" si="2"/>
        <v>43466</v>
      </c>
      <c r="G114" t="s">
        <v>226</v>
      </c>
      <c r="H114">
        <f t="shared" si="3"/>
        <v>3.4</v>
      </c>
    </row>
    <row r="115" spans="1:8" x14ac:dyDescent="0.25">
      <c r="A115" t="s">
        <v>5</v>
      </c>
      <c r="B115" t="s">
        <v>227</v>
      </c>
      <c r="C115" t="s">
        <v>228</v>
      </c>
      <c r="D115" t="s">
        <v>13</v>
      </c>
      <c r="E115">
        <v>2003</v>
      </c>
      <c r="F115" s="7">
        <f t="shared" si="2"/>
        <v>37622</v>
      </c>
      <c r="G115" t="s">
        <v>229</v>
      </c>
      <c r="H115">
        <f t="shared" si="3"/>
        <v>3</v>
      </c>
    </row>
    <row r="116" spans="1:8" x14ac:dyDescent="0.25">
      <c r="A116" t="s">
        <v>100</v>
      </c>
      <c r="B116" t="s">
        <v>230</v>
      </c>
      <c r="C116" t="s">
        <v>12</v>
      </c>
      <c r="D116" t="s">
        <v>13</v>
      </c>
      <c r="E116">
        <v>2013</v>
      </c>
      <c r="F116" s="7">
        <f t="shared" si="2"/>
        <v>41275</v>
      </c>
      <c r="G116" t="s">
        <v>231</v>
      </c>
      <c r="H116">
        <f t="shared" si="3"/>
        <v>3</v>
      </c>
    </row>
    <row r="117" spans="1:8" x14ac:dyDescent="0.25">
      <c r="A117" t="s">
        <v>232</v>
      </c>
      <c r="B117" t="s">
        <v>233</v>
      </c>
      <c r="C117" t="s">
        <v>12</v>
      </c>
      <c r="D117" t="s">
        <v>13</v>
      </c>
      <c r="E117">
        <v>2016</v>
      </c>
      <c r="F117" s="7">
        <f t="shared" si="2"/>
        <v>42370</v>
      </c>
      <c r="G117" t="s">
        <v>234</v>
      </c>
      <c r="H117">
        <f t="shared" si="3"/>
        <v>3</v>
      </c>
    </row>
    <row r="118" spans="1:8" x14ac:dyDescent="0.25">
      <c r="A118" t="s">
        <v>30</v>
      </c>
      <c r="B118" t="s">
        <v>235</v>
      </c>
      <c r="C118" t="s">
        <v>12</v>
      </c>
      <c r="D118" t="s">
        <v>13</v>
      </c>
      <c r="E118">
        <v>2024</v>
      </c>
      <c r="F118" s="7">
        <f t="shared" si="2"/>
        <v>45292</v>
      </c>
      <c r="G118">
        <v>2.7</v>
      </c>
      <c r="H118">
        <f t="shared" si="3"/>
        <v>2.7</v>
      </c>
    </row>
    <row r="119" spans="1:8" x14ac:dyDescent="0.25">
      <c r="A119" t="s">
        <v>30</v>
      </c>
      <c r="B119" t="s">
        <v>236</v>
      </c>
      <c r="C119" t="s">
        <v>12</v>
      </c>
      <c r="D119" t="s">
        <v>13</v>
      </c>
      <c r="E119">
        <v>2024</v>
      </c>
      <c r="F119" s="7">
        <f t="shared" si="2"/>
        <v>45292</v>
      </c>
      <c r="G119">
        <v>2.4</v>
      </c>
      <c r="H119">
        <f t="shared" si="3"/>
        <v>2.4</v>
      </c>
    </row>
    <row r="120" spans="1:8" x14ac:dyDescent="0.25">
      <c r="A120" t="s">
        <v>30</v>
      </c>
      <c r="B120" t="s">
        <v>237</v>
      </c>
      <c r="C120" t="s">
        <v>12</v>
      </c>
      <c r="D120" t="s">
        <v>13</v>
      </c>
      <c r="E120">
        <v>2023</v>
      </c>
      <c r="F120" s="7">
        <f t="shared" si="2"/>
        <v>44927</v>
      </c>
      <c r="G120">
        <v>2.2000000000000002</v>
      </c>
      <c r="H120">
        <f t="shared" si="3"/>
        <v>2.2000000000000002</v>
      </c>
    </row>
    <row r="121" spans="1:8" x14ac:dyDescent="0.25">
      <c r="A121" t="s">
        <v>238</v>
      </c>
      <c r="B121" t="s">
        <v>239</v>
      </c>
      <c r="C121" t="s">
        <v>12</v>
      </c>
      <c r="D121" t="s">
        <v>13</v>
      </c>
      <c r="E121">
        <v>2016</v>
      </c>
      <c r="F121" s="7">
        <f t="shared" si="2"/>
        <v>42370</v>
      </c>
      <c r="G121" t="s">
        <v>240</v>
      </c>
      <c r="H121">
        <f t="shared" si="3"/>
        <v>2.1</v>
      </c>
    </row>
    <row r="122" spans="1:8" x14ac:dyDescent="0.25">
      <c r="A122" t="s">
        <v>241</v>
      </c>
      <c r="B122" t="s">
        <v>242</v>
      </c>
      <c r="C122" t="s">
        <v>154</v>
      </c>
      <c r="D122" t="s">
        <v>13</v>
      </c>
      <c r="E122">
        <v>2007</v>
      </c>
      <c r="F122" s="7">
        <f t="shared" si="2"/>
        <v>39083</v>
      </c>
      <c r="G122" t="s">
        <v>243</v>
      </c>
      <c r="H122">
        <f t="shared" si="3"/>
        <v>2</v>
      </c>
    </row>
    <row r="123" spans="1:8" x14ac:dyDescent="0.25">
      <c r="A123" t="s">
        <v>5</v>
      </c>
      <c r="B123" t="s">
        <v>244</v>
      </c>
      <c r="C123" t="s">
        <v>245</v>
      </c>
      <c r="D123" t="s">
        <v>13</v>
      </c>
      <c r="E123">
        <v>2009</v>
      </c>
      <c r="F123" s="7">
        <f t="shared" si="2"/>
        <v>39814</v>
      </c>
      <c r="G123" t="s">
        <v>246</v>
      </c>
      <c r="H123">
        <f t="shared" si="3"/>
        <v>2</v>
      </c>
    </row>
    <row r="124" spans="1:8" x14ac:dyDescent="0.25">
      <c r="A124" t="s">
        <v>30</v>
      </c>
      <c r="B124" t="s">
        <v>247</v>
      </c>
      <c r="C124" t="s">
        <v>12</v>
      </c>
      <c r="D124" t="s">
        <v>13</v>
      </c>
      <c r="E124">
        <v>2023</v>
      </c>
      <c r="F124" s="7">
        <f t="shared" si="2"/>
        <v>44927</v>
      </c>
      <c r="G124">
        <v>2</v>
      </c>
      <c r="H124">
        <f t="shared" si="3"/>
        <v>2</v>
      </c>
    </row>
  </sheetData>
  <autoFilter ref="A1:H124" xr:uid="{BE8AE4F0-A5E7-42D5-ADE6-09E679AEF73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F80F-5426-4112-A2D6-B0BE0C3B1503}">
  <dimension ref="A1:AD29"/>
  <sheetViews>
    <sheetView workbookViewId="0">
      <selection activeCell="B29" sqref="B29"/>
    </sheetView>
  </sheetViews>
  <sheetFormatPr defaultRowHeight="15" x14ac:dyDescent="0.25"/>
  <cols>
    <col min="1" max="1" width="15.5703125" customWidth="1"/>
    <col min="2" max="2" width="13.85546875" customWidth="1"/>
    <col min="4" max="4" width="13.5703125" customWidth="1"/>
    <col min="5" max="5" width="14.5703125" customWidth="1"/>
    <col min="6" max="6" width="14.140625" customWidth="1"/>
    <col min="7" max="7" width="16.28515625" customWidth="1"/>
    <col min="8" max="8" width="12.5703125" customWidth="1"/>
    <col min="9" max="9" width="14" customWidth="1"/>
    <col min="10" max="10" width="11.85546875" customWidth="1"/>
    <col min="11" max="11" width="13.42578125" customWidth="1"/>
    <col min="12" max="12" width="12.140625" customWidth="1"/>
    <col min="13" max="13" width="13.28515625" customWidth="1"/>
    <col min="14" max="14" width="12" customWidth="1"/>
    <col min="15" max="15" width="13.5703125" customWidth="1"/>
    <col min="16" max="16" width="11.140625" customWidth="1"/>
    <col min="17" max="17" width="16.42578125" customWidth="1"/>
    <col min="18" max="18" width="15.85546875" customWidth="1"/>
    <col min="19" max="19" width="14" customWidth="1"/>
    <col min="20" max="20" width="16.7109375" customWidth="1"/>
    <col min="21" max="21" width="18.7109375" customWidth="1"/>
    <col min="22" max="22" width="13.42578125" customWidth="1"/>
    <col min="23" max="23" width="13.140625" customWidth="1"/>
    <col min="24" max="24" width="13" customWidth="1"/>
    <col min="25" max="25" width="13.5703125" style="3" customWidth="1"/>
    <col min="26" max="30" width="17.5703125" style="3" customWidth="1"/>
  </cols>
  <sheetData>
    <row r="1" spans="1:30" x14ac:dyDescent="0.25">
      <c r="A1" t="s">
        <v>0</v>
      </c>
      <c r="B1">
        <v>1992</v>
      </c>
      <c r="C1">
        <v>1993</v>
      </c>
      <c r="D1">
        <v>1994</v>
      </c>
      <c r="E1">
        <v>1995</v>
      </c>
      <c r="F1">
        <v>1996</v>
      </c>
      <c r="G1">
        <v>1997</v>
      </c>
      <c r="H1">
        <v>1998</v>
      </c>
      <c r="I1">
        <v>1999</v>
      </c>
      <c r="J1">
        <v>2000</v>
      </c>
      <c r="K1">
        <v>2001</v>
      </c>
      <c r="L1">
        <v>2002</v>
      </c>
      <c r="M1">
        <v>2003</v>
      </c>
      <c r="N1">
        <v>2004</v>
      </c>
      <c r="O1">
        <v>2005</v>
      </c>
      <c r="P1">
        <v>2006</v>
      </c>
      <c r="Q1">
        <v>2007</v>
      </c>
      <c r="R1">
        <v>2008</v>
      </c>
      <c r="S1">
        <v>2009</v>
      </c>
      <c r="T1">
        <v>2010</v>
      </c>
      <c r="U1">
        <v>2011</v>
      </c>
      <c r="V1">
        <v>2012</v>
      </c>
      <c r="W1">
        <v>2013</v>
      </c>
      <c r="X1">
        <v>2014</v>
      </c>
      <c r="Y1" s="3" t="s">
        <v>248</v>
      </c>
      <c r="Z1" s="3" t="s">
        <v>249</v>
      </c>
      <c r="AA1" s="3" t="s">
        <v>250</v>
      </c>
      <c r="AB1" s="3" t="s">
        <v>251</v>
      </c>
      <c r="AC1" s="3" t="s">
        <v>252</v>
      </c>
      <c r="AD1" s="3" t="s">
        <v>253</v>
      </c>
    </row>
    <row r="2" spans="1:30" x14ac:dyDescent="0.25">
      <c r="A2" t="s">
        <v>254</v>
      </c>
      <c r="F2" s="1">
        <v>2631000</v>
      </c>
      <c r="G2" s="1">
        <v>6967000</v>
      </c>
    </row>
    <row r="3" spans="1:30" x14ac:dyDescent="0.25">
      <c r="A3" t="s">
        <v>10</v>
      </c>
      <c r="Q3" s="1">
        <v>2300000</v>
      </c>
      <c r="R3" s="1">
        <v>12000000</v>
      </c>
      <c r="S3" s="1">
        <v>24889000</v>
      </c>
      <c r="T3" s="1">
        <v>46598300</v>
      </c>
      <c r="U3" s="1">
        <v>89263200</v>
      </c>
      <c r="V3" s="1">
        <v>130133200</v>
      </c>
      <c r="W3" s="1">
        <v>150785900</v>
      </c>
      <c r="X3" s="1">
        <v>191426000</v>
      </c>
      <c r="Y3" s="4">
        <v>225850600</v>
      </c>
      <c r="Z3" s="4">
        <v>216064000</v>
      </c>
      <c r="AA3" s="4">
        <v>214924400</v>
      </c>
      <c r="AB3" s="4">
        <v>219048400</v>
      </c>
      <c r="AC3" s="4">
        <v>219475100</v>
      </c>
      <c r="AD3" s="4">
        <v>199800000</v>
      </c>
    </row>
    <row r="4" spans="1:30" x14ac:dyDescent="0.25">
      <c r="A4" t="s">
        <v>255</v>
      </c>
      <c r="Y4" s="4">
        <v>72408600</v>
      </c>
    </row>
    <row r="5" spans="1:30" x14ac:dyDescent="0.25">
      <c r="A5" t="s">
        <v>256</v>
      </c>
      <c r="F5" s="1">
        <v>15914000</v>
      </c>
      <c r="G5" s="1">
        <v>23827000</v>
      </c>
      <c r="H5" s="1">
        <v>29785000</v>
      </c>
      <c r="I5" s="1">
        <v>41467000</v>
      </c>
      <c r="J5" s="1">
        <v>26956000</v>
      </c>
    </row>
    <row r="6" spans="1:30" x14ac:dyDescent="0.25">
      <c r="A6" t="s">
        <v>141</v>
      </c>
      <c r="T6" s="1">
        <v>24688400</v>
      </c>
      <c r="U6" s="1">
        <v>43266900</v>
      </c>
      <c r="V6" s="1">
        <v>32121800</v>
      </c>
    </row>
    <row r="7" spans="1:30" x14ac:dyDescent="0.25">
      <c r="A7" t="s">
        <v>92</v>
      </c>
      <c r="T7" s="1">
        <v>23814700</v>
      </c>
      <c r="U7" s="1">
        <v>40663400</v>
      </c>
      <c r="V7" s="1">
        <v>47288300</v>
      </c>
      <c r="W7" s="1">
        <v>53295100</v>
      </c>
      <c r="X7" s="1">
        <v>70499000</v>
      </c>
      <c r="Y7" s="4">
        <v>104094700</v>
      </c>
      <c r="Z7" s="4">
        <v>132824900</v>
      </c>
      <c r="AA7" s="4">
        <v>150534300</v>
      </c>
      <c r="AB7" s="4">
        <v>202901400</v>
      </c>
      <c r="AC7" s="4">
        <v>240615500</v>
      </c>
      <c r="AD7" s="4">
        <v>182600000</v>
      </c>
    </row>
    <row r="8" spans="1:30" x14ac:dyDescent="0.25">
      <c r="A8" t="s">
        <v>257</v>
      </c>
      <c r="W8" s="1">
        <v>45284700</v>
      </c>
      <c r="Y8" s="4">
        <v>72748200</v>
      </c>
    </row>
    <row r="9" spans="1:30" x14ac:dyDescent="0.25">
      <c r="A9" t="s">
        <v>258</v>
      </c>
      <c r="X9" s="1">
        <v>84029000</v>
      </c>
    </row>
    <row r="10" spans="1:30" x14ac:dyDescent="0.25">
      <c r="A10" t="s">
        <v>100</v>
      </c>
      <c r="M10" s="1">
        <v>26213700</v>
      </c>
      <c r="N10" s="1">
        <v>42276800</v>
      </c>
      <c r="O10" s="1">
        <v>54924600</v>
      </c>
      <c r="P10" s="1">
        <v>61986000</v>
      </c>
      <c r="Q10" s="1">
        <v>78576300</v>
      </c>
      <c r="R10" s="1">
        <v>102555400</v>
      </c>
      <c r="S10" s="1">
        <v>122055300</v>
      </c>
      <c r="T10" s="1">
        <v>114154600</v>
      </c>
      <c r="U10" s="1">
        <v>86370900</v>
      </c>
      <c r="V10" s="1">
        <v>58015900</v>
      </c>
      <c r="W10" s="1">
        <v>69024500</v>
      </c>
      <c r="X10" s="1">
        <v>76096000</v>
      </c>
      <c r="AA10" s="4">
        <v>55900000</v>
      </c>
      <c r="AB10" s="4">
        <v>40800000</v>
      </c>
      <c r="AC10" s="4">
        <v>29200000</v>
      </c>
    </row>
    <row r="11" spans="1:30" x14ac:dyDescent="0.25">
      <c r="A11" t="s">
        <v>259</v>
      </c>
      <c r="X11" s="1">
        <v>37094000</v>
      </c>
    </row>
    <row r="12" spans="1:30" x14ac:dyDescent="0.25">
      <c r="A12" t="s">
        <v>260</v>
      </c>
      <c r="X12" s="1">
        <v>185660000</v>
      </c>
    </row>
    <row r="13" spans="1:30" x14ac:dyDescent="0.25">
      <c r="A13" t="s">
        <v>37</v>
      </c>
      <c r="B13" s="1">
        <v>4000000</v>
      </c>
      <c r="D13" s="1">
        <v>12000000</v>
      </c>
      <c r="F13" s="1">
        <v>60000000</v>
      </c>
      <c r="G13" s="1">
        <v>25328000</v>
      </c>
      <c r="H13" s="1">
        <v>32319000</v>
      </c>
      <c r="I13" s="1">
        <v>47818000</v>
      </c>
      <c r="J13" s="1">
        <v>60094000</v>
      </c>
      <c r="K13" s="1">
        <v>59097000</v>
      </c>
      <c r="L13" s="1">
        <v>64640000</v>
      </c>
      <c r="M13" s="1">
        <v>75177000</v>
      </c>
      <c r="N13" s="1">
        <v>104124000</v>
      </c>
      <c r="O13" s="1">
        <v>144920000</v>
      </c>
      <c r="P13" s="1">
        <v>209251000</v>
      </c>
      <c r="Q13" s="1">
        <v>164307000</v>
      </c>
      <c r="R13" s="1">
        <v>106590000</v>
      </c>
      <c r="S13" s="1">
        <v>58475200</v>
      </c>
      <c r="T13" s="1">
        <v>38553700</v>
      </c>
      <c r="U13" s="1">
        <v>40269000</v>
      </c>
      <c r="V13" s="1">
        <v>33916300</v>
      </c>
    </row>
    <row r="14" spans="1:30" x14ac:dyDescent="0.25">
      <c r="A14" t="s">
        <v>261</v>
      </c>
      <c r="B14" s="1">
        <v>2000000</v>
      </c>
      <c r="D14" s="1">
        <v>6000000</v>
      </c>
    </row>
    <row r="15" spans="1:30" x14ac:dyDescent="0.25">
      <c r="A15" t="s">
        <v>5</v>
      </c>
      <c r="B15" s="1">
        <v>3000000</v>
      </c>
      <c r="C15" s="1">
        <v>5000000</v>
      </c>
      <c r="D15" s="1">
        <v>9000000</v>
      </c>
      <c r="E15" s="1">
        <v>13000000</v>
      </c>
      <c r="F15" s="1">
        <v>18000000</v>
      </c>
      <c r="G15" s="1">
        <v>20593000</v>
      </c>
      <c r="H15" s="1">
        <v>37374000</v>
      </c>
      <c r="I15" s="1">
        <v>76335000</v>
      </c>
      <c r="J15" s="1">
        <v>126369000</v>
      </c>
      <c r="K15" s="1">
        <v>139672000</v>
      </c>
      <c r="L15" s="1">
        <v>151422000</v>
      </c>
      <c r="M15" s="1">
        <v>180672000</v>
      </c>
      <c r="N15" s="1">
        <v>207231000</v>
      </c>
      <c r="O15" s="1">
        <v>265615000</v>
      </c>
      <c r="P15" s="1">
        <v>344916000</v>
      </c>
      <c r="Q15" s="1">
        <v>435453000</v>
      </c>
      <c r="R15" s="1">
        <v>472315000</v>
      </c>
      <c r="S15" s="1">
        <v>440881600</v>
      </c>
      <c r="T15" s="1">
        <v>461318200</v>
      </c>
      <c r="U15" s="1">
        <v>422478300</v>
      </c>
      <c r="V15" s="1">
        <v>333938000</v>
      </c>
      <c r="W15" s="1">
        <v>250793100</v>
      </c>
    </row>
    <row r="16" spans="1:30" x14ac:dyDescent="0.25">
      <c r="A16" t="s">
        <v>197</v>
      </c>
      <c r="Z16" s="4">
        <v>85299500</v>
      </c>
      <c r="AA16" s="4">
        <v>112124000</v>
      </c>
      <c r="AB16" s="4">
        <v>118837500</v>
      </c>
      <c r="AC16" s="4">
        <v>118693200</v>
      </c>
      <c r="AD16" s="4">
        <v>111800000</v>
      </c>
    </row>
    <row r="17" spans="1:30" x14ac:dyDescent="0.25">
      <c r="A17" t="s">
        <v>262</v>
      </c>
      <c r="R17" s="1">
        <v>248189000</v>
      </c>
      <c r="S17" s="1">
        <v>299179200</v>
      </c>
      <c r="T17" s="1">
        <v>488569300</v>
      </c>
      <c r="U17" s="1">
        <v>597326900</v>
      </c>
      <c r="V17" s="1">
        <v>587399300</v>
      </c>
      <c r="W17" s="1">
        <v>613710000</v>
      </c>
      <c r="X17" s="1">
        <v>629360000</v>
      </c>
      <c r="Y17" s="4">
        <v>635368500</v>
      </c>
      <c r="Z17" s="4">
        <v>682314300</v>
      </c>
      <c r="AA17" s="4">
        <v>582104700</v>
      </c>
      <c r="AB17" s="4">
        <v>566249000</v>
      </c>
      <c r="AC17" s="4">
        <v>536430000</v>
      </c>
      <c r="AD17" s="4">
        <v>454800000</v>
      </c>
    </row>
    <row r="18" spans="1:30" x14ac:dyDescent="0.25">
      <c r="A18" t="s">
        <v>263</v>
      </c>
      <c r="G18" s="1">
        <v>8627000</v>
      </c>
      <c r="H18" s="1">
        <v>13397000</v>
      </c>
      <c r="I18" s="1">
        <v>15581000</v>
      </c>
    </row>
    <row r="19" spans="1:30" x14ac:dyDescent="0.25">
      <c r="A19" t="s">
        <v>264</v>
      </c>
      <c r="Q19" s="1">
        <v>12000000</v>
      </c>
      <c r="R19" s="1">
        <v>23000000</v>
      </c>
      <c r="S19" s="1">
        <v>34000000</v>
      </c>
      <c r="T19" s="1">
        <v>47451600</v>
      </c>
      <c r="U19" s="1">
        <v>51541900</v>
      </c>
      <c r="V19" s="1">
        <v>34210300</v>
      </c>
      <c r="W19" s="1">
        <v>18000000</v>
      </c>
      <c r="X19" s="1">
        <v>8000000</v>
      </c>
      <c r="Y19" s="4">
        <v>4000000</v>
      </c>
      <c r="Z19" s="4">
        <v>2000000</v>
      </c>
    </row>
    <row r="20" spans="1:30" x14ac:dyDescent="0.25">
      <c r="A20" t="s">
        <v>30</v>
      </c>
      <c r="H20" s="1">
        <v>4686000</v>
      </c>
      <c r="I20" s="1">
        <v>17687000</v>
      </c>
      <c r="J20" s="1">
        <v>20639000</v>
      </c>
      <c r="K20" s="1">
        <v>28234000</v>
      </c>
      <c r="L20" s="1">
        <v>41684000</v>
      </c>
      <c r="M20" s="1">
        <v>54475000</v>
      </c>
      <c r="N20" s="1">
        <v>85238000</v>
      </c>
      <c r="O20" s="1">
        <v>103754000</v>
      </c>
      <c r="P20" s="1">
        <v>116480000</v>
      </c>
      <c r="Q20" s="1">
        <v>154541000</v>
      </c>
      <c r="R20" s="1">
        <v>199182000</v>
      </c>
      <c r="S20" s="1">
        <v>235772000</v>
      </c>
      <c r="T20" s="1">
        <v>281065800</v>
      </c>
      <c r="U20" s="1">
        <v>313904200</v>
      </c>
      <c r="V20" s="1">
        <v>384631200</v>
      </c>
      <c r="W20" s="1">
        <v>444444200</v>
      </c>
      <c r="X20" s="1">
        <v>392546000</v>
      </c>
      <c r="Y20" s="4">
        <v>320400000</v>
      </c>
      <c r="Z20" s="4">
        <v>306446600</v>
      </c>
      <c r="AA20" s="4">
        <v>321263300</v>
      </c>
      <c r="AB20" s="4">
        <v>295043700</v>
      </c>
      <c r="AC20" s="4">
        <v>296194000</v>
      </c>
      <c r="AD20" s="4">
        <v>253000000</v>
      </c>
    </row>
    <row r="21" spans="1:30" x14ac:dyDescent="0.25">
      <c r="A21" t="s">
        <v>265</v>
      </c>
      <c r="J21" s="1">
        <v>26989000</v>
      </c>
      <c r="K21" s="1">
        <v>29753000</v>
      </c>
      <c r="L21" s="1">
        <v>34618000</v>
      </c>
      <c r="M21" s="1">
        <v>43754000</v>
      </c>
      <c r="N21" s="1">
        <v>48456000</v>
      </c>
      <c r="O21" s="1">
        <v>28591000</v>
      </c>
    </row>
    <row r="22" spans="1:30" x14ac:dyDescent="0.25">
      <c r="A22" t="s">
        <v>266</v>
      </c>
      <c r="W22" s="1">
        <v>37595700</v>
      </c>
      <c r="X22" s="1">
        <v>37791000</v>
      </c>
    </row>
    <row r="23" spans="1:30" x14ac:dyDescent="0.25">
      <c r="A23" t="s">
        <v>155</v>
      </c>
      <c r="Q23" s="1">
        <v>93414500</v>
      </c>
      <c r="R23" s="1">
        <v>54873400</v>
      </c>
      <c r="S23" s="1">
        <v>41819200</v>
      </c>
      <c r="T23" s="1">
        <v>32597500</v>
      </c>
    </row>
    <row r="24" spans="1:30" x14ac:dyDescent="0.25">
      <c r="A24" t="s">
        <v>267</v>
      </c>
      <c r="V24" s="1">
        <v>37176600</v>
      </c>
      <c r="W24" s="1">
        <v>49531300</v>
      </c>
      <c r="X24" s="1">
        <v>64026000</v>
      </c>
    </row>
    <row r="25" spans="1:30" x14ac:dyDescent="0.25">
      <c r="A25" t="s">
        <v>268</v>
      </c>
      <c r="AA25" s="4">
        <v>99684800</v>
      </c>
    </row>
    <row r="26" spans="1:30" x14ac:dyDescent="0.25">
      <c r="A26" t="s">
        <v>107</v>
      </c>
      <c r="X26" s="1">
        <v>56529000</v>
      </c>
      <c r="Y26" s="4">
        <v>65618600</v>
      </c>
      <c r="AB26" s="4">
        <v>122387000</v>
      </c>
      <c r="AC26" s="4">
        <v>126049200</v>
      </c>
      <c r="AD26" s="4">
        <v>145800000</v>
      </c>
    </row>
    <row r="27" spans="1:30" x14ac:dyDescent="0.25">
      <c r="A27" t="s">
        <v>269</v>
      </c>
      <c r="W27" s="1">
        <v>32601400</v>
      </c>
    </row>
    <row r="28" spans="1:30" x14ac:dyDescent="0.25">
      <c r="A28" t="s">
        <v>270</v>
      </c>
      <c r="T28" s="1">
        <v>28768700</v>
      </c>
      <c r="U28" s="1">
        <v>56881800</v>
      </c>
      <c r="V28" s="1">
        <v>67344400</v>
      </c>
      <c r="W28" s="1">
        <v>59898800</v>
      </c>
      <c r="X28" s="1">
        <v>53910000</v>
      </c>
    </row>
    <row r="29" spans="1:30" x14ac:dyDescent="0.25">
      <c r="A29" t="s">
        <v>271</v>
      </c>
      <c r="G29" s="1">
        <v>107818000</v>
      </c>
      <c r="H29" s="1">
        <v>162856000</v>
      </c>
      <c r="I29" s="1">
        <v>283581000</v>
      </c>
      <c r="J29" s="1">
        <v>412731000</v>
      </c>
      <c r="K29" s="1">
        <v>399583000</v>
      </c>
      <c r="L29" s="1">
        <v>423418500</v>
      </c>
      <c r="M29" s="1">
        <v>519985500</v>
      </c>
      <c r="N29" s="1">
        <v>674001900</v>
      </c>
      <c r="O29" s="1">
        <v>816562900</v>
      </c>
      <c r="P29" s="1">
        <v>990862500</v>
      </c>
      <c r="Q29" s="1">
        <v>1152839800</v>
      </c>
      <c r="R29" s="1">
        <v>1222245200</v>
      </c>
      <c r="S29" s="1">
        <v>1211236600</v>
      </c>
      <c r="T29" s="1">
        <v>1596802400</v>
      </c>
      <c r="U29" s="1">
        <v>1774564100</v>
      </c>
      <c r="V29" s="1">
        <v>1746175600</v>
      </c>
      <c r="W29" s="1">
        <v>1806964700</v>
      </c>
      <c r="X29" s="1">
        <v>1878968000</v>
      </c>
      <c r="Y29" s="4">
        <v>1423900300</v>
      </c>
      <c r="Z29" s="4">
        <v>1495358000</v>
      </c>
      <c r="AA29" s="4">
        <v>1536535500</v>
      </c>
      <c r="AB29" s="4">
        <v>1555267000</v>
      </c>
      <c r="AC29" s="4">
        <v>1540657000</v>
      </c>
      <c r="AD29" s="4">
        <v>1347900000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C6762-59F0-4261-9073-97A748BEBA81}">
  <dimension ref="A7:B119"/>
  <sheetViews>
    <sheetView topLeftCell="A55" zoomScaleNormal="100" workbookViewId="0">
      <selection activeCell="B70" sqref="B70"/>
    </sheetView>
  </sheetViews>
  <sheetFormatPr defaultRowHeight="15" x14ac:dyDescent="0.25"/>
  <cols>
    <col min="1" max="1" width="13.42578125" bestFit="1" customWidth="1"/>
    <col min="2" max="2" width="17" bestFit="1" customWidth="1"/>
    <col min="3" max="3" width="7.42578125" bestFit="1" customWidth="1"/>
    <col min="4" max="4" width="4.85546875" bestFit="1" customWidth="1"/>
    <col min="5" max="5" width="7.7109375" bestFit="1" customWidth="1"/>
    <col min="6" max="6" width="5.28515625" bestFit="1" customWidth="1"/>
    <col min="7" max="7" width="3.42578125" bestFit="1" customWidth="1"/>
    <col min="8" max="8" width="9" bestFit="1" customWidth="1"/>
    <col min="9" max="9" width="7" bestFit="1" customWidth="1"/>
    <col min="10" max="10" width="5.85546875" bestFit="1" customWidth="1"/>
    <col min="11" max="11" width="13.42578125" bestFit="1" customWidth="1"/>
    <col min="12" max="12" width="22.5703125" bestFit="1" customWidth="1"/>
    <col min="14" max="14" width="13.7109375" bestFit="1" customWidth="1"/>
    <col min="15" max="15" width="7.140625" bestFit="1" customWidth="1"/>
    <col min="16" max="16" width="11.28515625" bestFit="1" customWidth="1"/>
  </cols>
  <sheetData>
    <row r="7" spans="1:2" x14ac:dyDescent="0.25">
      <c r="A7" s="5" t="s">
        <v>274</v>
      </c>
      <c r="B7" t="s">
        <v>277</v>
      </c>
    </row>
    <row r="8" spans="1:2" x14ac:dyDescent="0.25">
      <c r="A8" s="6" t="s">
        <v>10</v>
      </c>
      <c r="B8">
        <v>1669.3</v>
      </c>
    </row>
    <row r="9" spans="1:2" x14ac:dyDescent="0.25">
      <c r="A9" s="6" t="s">
        <v>238</v>
      </c>
      <c r="B9">
        <v>2.1</v>
      </c>
    </row>
    <row r="10" spans="1:2" x14ac:dyDescent="0.25">
      <c r="A10" s="6" t="s">
        <v>141</v>
      </c>
      <c r="B10">
        <v>16</v>
      </c>
    </row>
    <row r="11" spans="1:2" x14ac:dyDescent="0.25">
      <c r="A11" s="6" t="s">
        <v>92</v>
      </c>
      <c r="B11">
        <v>113.8</v>
      </c>
    </row>
    <row r="12" spans="1:2" x14ac:dyDescent="0.25">
      <c r="A12" s="6" t="s">
        <v>232</v>
      </c>
      <c r="B12">
        <v>3</v>
      </c>
    </row>
    <row r="13" spans="1:2" x14ac:dyDescent="0.25">
      <c r="A13" s="6" t="s">
        <v>100</v>
      </c>
      <c r="B13">
        <v>92</v>
      </c>
    </row>
    <row r="14" spans="1:2" x14ac:dyDescent="0.25">
      <c r="A14" s="6" t="s">
        <v>37</v>
      </c>
      <c r="B14">
        <v>323</v>
      </c>
    </row>
    <row r="15" spans="1:2" x14ac:dyDescent="0.25">
      <c r="A15" s="6" t="s">
        <v>5</v>
      </c>
      <c r="B15">
        <v>2376.5</v>
      </c>
    </row>
    <row r="16" spans="1:2" x14ac:dyDescent="0.25">
      <c r="A16" s="6" t="s">
        <v>197</v>
      </c>
      <c r="B16">
        <v>16.7</v>
      </c>
    </row>
    <row r="17" spans="1:2" x14ac:dyDescent="0.25">
      <c r="A17" s="6" t="s">
        <v>241</v>
      </c>
      <c r="B17">
        <v>2</v>
      </c>
    </row>
    <row r="18" spans="1:2" x14ac:dyDescent="0.25">
      <c r="A18" s="6" t="s">
        <v>161</v>
      </c>
      <c r="B18">
        <v>15</v>
      </c>
    </row>
    <row r="19" spans="1:2" x14ac:dyDescent="0.25">
      <c r="A19" s="6" t="s">
        <v>30</v>
      </c>
      <c r="B19">
        <v>1014.8</v>
      </c>
    </row>
    <row r="20" spans="1:2" x14ac:dyDescent="0.25">
      <c r="A20" s="6" t="s">
        <v>155</v>
      </c>
      <c r="B20">
        <v>45</v>
      </c>
    </row>
    <row r="21" spans="1:2" x14ac:dyDescent="0.25">
      <c r="A21" s="6" t="s">
        <v>107</v>
      </c>
      <c r="B21">
        <v>99.1</v>
      </c>
    </row>
    <row r="22" spans="1:2" x14ac:dyDescent="0.25">
      <c r="A22" s="6" t="s">
        <v>275</v>
      </c>
      <c r="B22">
        <v>5788.3</v>
      </c>
    </row>
    <row r="31" spans="1:2" x14ac:dyDescent="0.25">
      <c r="A31" s="5" t="s">
        <v>274</v>
      </c>
      <c r="B31" t="s">
        <v>277</v>
      </c>
    </row>
    <row r="32" spans="1:2" x14ac:dyDescent="0.25">
      <c r="A32" s="6">
        <v>1996</v>
      </c>
      <c r="B32">
        <v>60</v>
      </c>
    </row>
    <row r="33" spans="1:2" x14ac:dyDescent="0.25">
      <c r="A33" s="6">
        <v>1999</v>
      </c>
      <c r="B33">
        <v>161</v>
      </c>
    </row>
    <row r="34" spans="1:2" x14ac:dyDescent="0.25">
      <c r="A34" s="6">
        <v>2000</v>
      </c>
      <c r="B34">
        <v>126</v>
      </c>
    </row>
    <row r="35" spans="1:2" x14ac:dyDescent="0.25">
      <c r="A35" s="6">
        <v>2003</v>
      </c>
      <c r="B35">
        <v>543</v>
      </c>
    </row>
    <row r="36" spans="1:2" x14ac:dyDescent="0.25">
      <c r="A36" s="6">
        <v>2004</v>
      </c>
      <c r="B36">
        <v>440</v>
      </c>
    </row>
    <row r="37" spans="1:2" x14ac:dyDescent="0.25">
      <c r="A37" s="6">
        <v>2005</v>
      </c>
      <c r="B37">
        <v>497.5</v>
      </c>
    </row>
    <row r="38" spans="1:2" x14ac:dyDescent="0.25">
      <c r="A38" s="6">
        <v>2006</v>
      </c>
      <c r="B38">
        <v>158</v>
      </c>
    </row>
    <row r="39" spans="1:2" x14ac:dyDescent="0.25">
      <c r="A39" s="6">
        <v>2007</v>
      </c>
      <c r="B39">
        <v>353</v>
      </c>
    </row>
    <row r="40" spans="1:2" x14ac:dyDescent="0.25">
      <c r="A40" s="6">
        <v>2008</v>
      </c>
      <c r="B40">
        <v>70</v>
      </c>
    </row>
    <row r="41" spans="1:2" x14ac:dyDescent="0.25">
      <c r="A41" s="6">
        <v>2009</v>
      </c>
      <c r="B41">
        <v>360</v>
      </c>
    </row>
    <row r="42" spans="1:2" x14ac:dyDescent="0.25">
      <c r="A42" s="6">
        <v>2010</v>
      </c>
      <c r="B42">
        <v>175</v>
      </c>
    </row>
    <row r="43" spans="1:2" x14ac:dyDescent="0.25">
      <c r="A43" s="6">
        <v>2011</v>
      </c>
      <c r="B43">
        <v>139</v>
      </c>
    </row>
    <row r="44" spans="1:2" x14ac:dyDescent="0.25">
      <c r="A44" s="6">
        <v>2012</v>
      </c>
      <c r="B44">
        <v>256.2</v>
      </c>
    </row>
    <row r="45" spans="1:2" x14ac:dyDescent="0.25">
      <c r="A45" s="6">
        <v>2013</v>
      </c>
      <c r="B45">
        <v>447.5</v>
      </c>
    </row>
    <row r="46" spans="1:2" x14ac:dyDescent="0.25">
      <c r="A46" s="6">
        <v>2014</v>
      </c>
      <c r="B46">
        <v>236.9</v>
      </c>
    </row>
    <row r="47" spans="1:2" x14ac:dyDescent="0.25">
      <c r="A47" s="6">
        <v>2015</v>
      </c>
      <c r="B47">
        <v>219.1</v>
      </c>
    </row>
    <row r="48" spans="1:2" x14ac:dyDescent="0.25">
      <c r="A48" s="6">
        <v>2016</v>
      </c>
      <c r="B48">
        <v>267</v>
      </c>
    </row>
    <row r="49" spans="1:2" x14ac:dyDescent="0.25">
      <c r="A49" s="6">
        <v>2017</v>
      </c>
      <c r="B49">
        <v>255.7</v>
      </c>
    </row>
    <row r="50" spans="1:2" x14ac:dyDescent="0.25">
      <c r="A50" s="6">
        <v>2018</v>
      </c>
      <c r="B50">
        <v>281.29999999999995</v>
      </c>
    </row>
    <row r="51" spans="1:2" x14ac:dyDescent="0.25">
      <c r="A51" s="6">
        <v>2019</v>
      </c>
      <c r="B51">
        <v>436.49999999999994</v>
      </c>
    </row>
    <row r="52" spans="1:2" x14ac:dyDescent="0.25">
      <c r="A52" s="6">
        <v>2020</v>
      </c>
      <c r="B52">
        <v>240.9</v>
      </c>
    </row>
    <row r="53" spans="1:2" x14ac:dyDescent="0.25">
      <c r="A53" s="6">
        <v>2021</v>
      </c>
      <c r="B53">
        <v>31.8</v>
      </c>
    </row>
    <row r="54" spans="1:2" x14ac:dyDescent="0.25">
      <c r="A54" s="6">
        <v>2022</v>
      </c>
      <c r="B54">
        <v>10.9</v>
      </c>
    </row>
    <row r="55" spans="1:2" x14ac:dyDescent="0.25">
      <c r="A55" s="6">
        <v>2023</v>
      </c>
      <c r="B55">
        <v>12</v>
      </c>
    </row>
    <row r="56" spans="1:2" x14ac:dyDescent="0.25">
      <c r="A56" s="6">
        <v>2024</v>
      </c>
      <c r="B56">
        <v>10</v>
      </c>
    </row>
    <row r="57" spans="1:2" x14ac:dyDescent="0.25">
      <c r="A57" s="6" t="s">
        <v>275</v>
      </c>
      <c r="B57">
        <v>5788.2999999999993</v>
      </c>
    </row>
    <row r="66" spans="1:2" x14ac:dyDescent="0.25">
      <c r="A66" s="5" t="s">
        <v>3</v>
      </c>
      <c r="B66" t="s">
        <v>276</v>
      </c>
    </row>
    <row r="68" spans="1:2" x14ac:dyDescent="0.25">
      <c r="A68" s="5" t="s">
        <v>274</v>
      </c>
      <c r="B68" t="s">
        <v>277</v>
      </c>
    </row>
    <row r="69" spans="1:2" x14ac:dyDescent="0.25">
      <c r="A69" s="6" t="s">
        <v>6</v>
      </c>
      <c r="B69">
        <v>2466.5</v>
      </c>
    </row>
    <row r="70" spans="1:2" x14ac:dyDescent="0.25">
      <c r="A70" s="6" t="s">
        <v>39</v>
      </c>
      <c r="B70">
        <v>235</v>
      </c>
    </row>
    <row r="71" spans="1:2" x14ac:dyDescent="0.25">
      <c r="A71" s="6" t="s">
        <v>154</v>
      </c>
      <c r="B71">
        <v>17</v>
      </c>
    </row>
    <row r="72" spans="1:2" x14ac:dyDescent="0.25">
      <c r="A72" s="6" t="s">
        <v>98</v>
      </c>
      <c r="B72">
        <v>116</v>
      </c>
    </row>
    <row r="73" spans="1:2" x14ac:dyDescent="0.25">
      <c r="A73" s="6" t="s">
        <v>228</v>
      </c>
      <c r="B73">
        <v>3</v>
      </c>
    </row>
    <row r="74" spans="1:2" x14ac:dyDescent="0.25">
      <c r="A74" s="6" t="s">
        <v>245</v>
      </c>
      <c r="B74">
        <v>2</v>
      </c>
    </row>
    <row r="75" spans="1:2" x14ac:dyDescent="0.25">
      <c r="A75" s="6" t="s">
        <v>12</v>
      </c>
      <c r="B75">
        <v>2948.8</v>
      </c>
    </row>
    <row r="76" spans="1:2" x14ac:dyDescent="0.25">
      <c r="A76" s="6" t="s">
        <v>275</v>
      </c>
      <c r="B76">
        <v>5788.3</v>
      </c>
    </row>
    <row r="84" spans="1:2" x14ac:dyDescent="0.25">
      <c r="A84" s="5" t="s">
        <v>0</v>
      </c>
      <c r="B84" t="s">
        <v>276</v>
      </c>
    </row>
    <row r="86" spans="1:2" x14ac:dyDescent="0.25">
      <c r="A86" s="5" t="s">
        <v>274</v>
      </c>
      <c r="B86" t="s">
        <v>277</v>
      </c>
    </row>
    <row r="87" spans="1:2" x14ac:dyDescent="0.25">
      <c r="A87" s="6" t="s">
        <v>26</v>
      </c>
      <c r="B87">
        <v>151.1</v>
      </c>
    </row>
    <row r="88" spans="1:2" x14ac:dyDescent="0.25">
      <c r="A88" s="6" t="s">
        <v>24</v>
      </c>
      <c r="B88">
        <v>159.19999999999999</v>
      </c>
    </row>
    <row r="89" spans="1:2" x14ac:dyDescent="0.25">
      <c r="A89" s="6" t="s">
        <v>22</v>
      </c>
      <c r="B89">
        <v>159.9</v>
      </c>
    </row>
    <row r="90" spans="1:2" x14ac:dyDescent="0.25">
      <c r="A90" s="6">
        <v>3210</v>
      </c>
      <c r="B90">
        <v>161</v>
      </c>
    </row>
    <row r="91" spans="1:2" x14ac:dyDescent="0.25">
      <c r="A91" s="6" t="s">
        <v>19</v>
      </c>
      <c r="B91">
        <v>164.5</v>
      </c>
    </row>
    <row r="92" spans="1:2" x14ac:dyDescent="0.25">
      <c r="A92" s="6" t="s">
        <v>17</v>
      </c>
      <c r="B92">
        <v>174.1</v>
      </c>
    </row>
    <row r="93" spans="1:2" x14ac:dyDescent="0.25">
      <c r="A93" s="6" t="s">
        <v>15</v>
      </c>
      <c r="B93">
        <v>200</v>
      </c>
    </row>
    <row r="94" spans="1:2" x14ac:dyDescent="0.25">
      <c r="A94" s="6" t="s">
        <v>11</v>
      </c>
      <c r="B94">
        <v>222.4</v>
      </c>
    </row>
    <row r="95" spans="1:2" x14ac:dyDescent="0.25">
      <c r="A95" s="6">
        <v>1110</v>
      </c>
      <c r="B95">
        <v>247.5</v>
      </c>
    </row>
    <row r="96" spans="1:2" x14ac:dyDescent="0.25">
      <c r="A96" s="6">
        <v>1100</v>
      </c>
      <c r="B96">
        <v>250</v>
      </c>
    </row>
    <row r="97" spans="1:2" x14ac:dyDescent="0.25">
      <c r="A97" s="6" t="s">
        <v>275</v>
      </c>
      <c r="B97">
        <v>1889.7</v>
      </c>
    </row>
    <row r="104" spans="1:2" x14ac:dyDescent="0.25">
      <c r="A104" s="5" t="s">
        <v>274</v>
      </c>
      <c r="B104" t="s">
        <v>278</v>
      </c>
    </row>
    <row r="105" spans="1:2" x14ac:dyDescent="0.25">
      <c r="A105" s="6" t="s">
        <v>10</v>
      </c>
      <c r="B105">
        <v>16</v>
      </c>
    </row>
    <row r="106" spans="1:2" x14ac:dyDescent="0.25">
      <c r="A106" s="6" t="s">
        <v>238</v>
      </c>
      <c r="B106">
        <v>1</v>
      </c>
    </row>
    <row r="107" spans="1:2" x14ac:dyDescent="0.25">
      <c r="A107" s="6" t="s">
        <v>141</v>
      </c>
      <c r="B107">
        <v>1</v>
      </c>
    </row>
    <row r="108" spans="1:2" x14ac:dyDescent="0.25">
      <c r="A108" s="6" t="s">
        <v>92</v>
      </c>
      <c r="B108">
        <v>6</v>
      </c>
    </row>
    <row r="109" spans="1:2" x14ac:dyDescent="0.25">
      <c r="A109" s="6" t="s">
        <v>232</v>
      </c>
      <c r="B109">
        <v>1</v>
      </c>
    </row>
    <row r="110" spans="1:2" x14ac:dyDescent="0.25">
      <c r="A110" s="6" t="s">
        <v>100</v>
      </c>
      <c r="B110">
        <v>7</v>
      </c>
    </row>
    <row r="111" spans="1:2" x14ac:dyDescent="0.25">
      <c r="A111" s="6" t="s">
        <v>37</v>
      </c>
      <c r="B111">
        <v>5</v>
      </c>
    </row>
    <row r="112" spans="1:2" x14ac:dyDescent="0.25">
      <c r="A112" s="6" t="s">
        <v>5</v>
      </c>
      <c r="B112">
        <v>27</v>
      </c>
    </row>
    <row r="113" spans="1:2" x14ac:dyDescent="0.25">
      <c r="A113" s="6" t="s">
        <v>197</v>
      </c>
      <c r="B113">
        <v>2</v>
      </c>
    </row>
    <row r="114" spans="1:2" x14ac:dyDescent="0.25">
      <c r="A114" s="6" t="s">
        <v>241</v>
      </c>
      <c r="B114">
        <v>1</v>
      </c>
    </row>
    <row r="115" spans="1:2" x14ac:dyDescent="0.25">
      <c r="A115" s="6" t="s">
        <v>161</v>
      </c>
      <c r="B115">
        <v>1</v>
      </c>
    </row>
    <row r="116" spans="1:2" x14ac:dyDescent="0.25">
      <c r="A116" s="6" t="s">
        <v>30</v>
      </c>
      <c r="B116">
        <v>45</v>
      </c>
    </row>
    <row r="117" spans="1:2" x14ac:dyDescent="0.25">
      <c r="A117" s="6" t="s">
        <v>155</v>
      </c>
      <c r="B117">
        <v>3</v>
      </c>
    </row>
    <row r="118" spans="1:2" x14ac:dyDescent="0.25">
      <c r="A118" s="6" t="s">
        <v>107</v>
      </c>
      <c r="B118">
        <v>7</v>
      </c>
    </row>
    <row r="119" spans="1:2" x14ac:dyDescent="0.25">
      <c r="A119" s="6" t="s">
        <v>275</v>
      </c>
      <c r="B119">
        <v>123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F151-53E9-460C-A722-E2C9057CA62F}">
  <dimension ref="A1"/>
  <sheetViews>
    <sheetView tabSelected="1" topLeftCell="D3" zoomScale="95" zoomScaleNormal="95" workbookViewId="0">
      <selection activeCell="AD25" sqref="AD25"/>
    </sheetView>
  </sheetViews>
  <sheetFormatPr defaultRowHeight="15" x14ac:dyDescent="0.25"/>
  <sheetData/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8B8F3F8B5A94459047D95F3587AC5E" ma:contentTypeVersion="4" ma:contentTypeDescription="Create a new document." ma:contentTypeScope="" ma:versionID="a6a80ee47cd5cfd0813d993c8cfc7128">
  <xsd:schema xmlns:xsd="http://www.w3.org/2001/XMLSchema" xmlns:xs="http://www.w3.org/2001/XMLSchema" xmlns:p="http://schemas.microsoft.com/office/2006/metadata/properties" xmlns:ns3="5e4ed61f-6af7-4a3a-a582-2f113e70aeba" targetNamespace="http://schemas.microsoft.com/office/2006/metadata/properties" ma:root="true" ma:fieldsID="c1dc9e32671d0a186bb6e9ceb4bc1955" ns3:_="">
    <xsd:import namespace="5e4ed61f-6af7-4a3a-a582-2f113e70aeb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ed61f-6af7-4a3a-a582-2f113e70aeb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A48B43-AADB-473C-9DCA-91C1F54FA3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B433BE-E961-4A3F-8D23-ED0F97A0E873}">
  <ds:schemaRefs>
    <ds:schemaRef ds:uri="http://purl.org/dc/terms/"/>
    <ds:schemaRef ds:uri="5e4ed61f-6af7-4a3a-a582-2f113e70aeba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009AA4B-3033-4940-B59F-9FA94A2A99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ed61f-6af7-4a3a-a582-2f113e70ae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MobilePhones</vt:lpstr>
      <vt:lpstr>MobilePhones2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Rameel Sohail</cp:lastModifiedBy>
  <dcterms:created xsi:type="dcterms:W3CDTF">2025-04-23T10:49:55Z</dcterms:created>
  <dcterms:modified xsi:type="dcterms:W3CDTF">2025-04-24T16:42:39Z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0x0101001C8B8F3F8B5A94459047D95F3587AC5E</vt:lpwstr>
  </property>
</Properties>
</file>